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Default Extension="png" ContentType="image/png"/>
  <Default Extension="bin" ContentType="application/vnd.openxmlformats-officedocument.oleObject"/>
  <Default Extension="wmf" ContentType="image/x-wmf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ATO A" sheetId="1" state="visible" r:id="rId2"/>
    <sheet name="FORMATO B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<sst xmlns="http://schemas.openxmlformats.org/spreadsheetml/2006/main" count="173" uniqueCount="173">
  <si>
    <t xml:space="preserve">FORMATO A</t>
  </si>
  <si>
    <t xml:space="preserve">1. Sentencias emitidas publicadas</t>
  </si>
  <si>
    <t>Civil</t>
  </si>
  <si>
    <t>Familiar</t>
  </si>
  <si>
    <t>Mercantil</t>
  </si>
  <si>
    <t>Laboral</t>
  </si>
  <si>
    <t xml:space="preserve">Penal tradicional</t>
  </si>
  <si>
    <t xml:space="preserve">Penal acusatorio</t>
  </si>
  <si>
    <t xml:space="preserve">Justicia para adolescentes</t>
  </si>
  <si>
    <t>Administrativo</t>
  </si>
  <si>
    <t xml:space="preserve">Otras o no especificado</t>
  </si>
  <si>
    <t>Total</t>
  </si>
  <si>
    <t xml:space="preserve">1era. Instancia</t>
  </si>
  <si>
    <t xml:space="preserve">2da. Instancia</t>
  </si>
  <si>
    <t xml:space="preserve">2. Causas penales y expedientes</t>
  </si>
  <si>
    <t>Estatus</t>
  </si>
  <si>
    <t xml:space="preserve">Justicia para Adolescentes</t>
  </si>
  <si>
    <t>Ingresados</t>
  </si>
  <si>
    <t>Concluidos</t>
  </si>
  <si>
    <t>Nota:</t>
  </si>
  <si>
    <t xml:space="preserve">Para los distritos  Pachuca, Tulancingo, Tula, Ixmiquilpan y Tizayuca se contempla 2022 a 2025 </t>
  </si>
  <si>
    <t xml:space="preserve">Para los distritos Huichapan,Tepeji, Meztitlan y Atotonilco se contempla  ABRIL 2024 a  DICIEBRE 2025</t>
  </si>
  <si>
    <t xml:space="preserve">Para  los distritos Zimapan, Jacala, Zacualtipan y Molango  se contempla MAYO 2024 A DICIEMBRE 2025</t>
  </si>
  <si>
    <t xml:space="preserve">Para los distritos Actopan y Huejutla  se contempla 2024 a 2025</t>
  </si>
  <si>
    <t xml:space="preserve">3. Pendientes de concluir</t>
  </si>
  <si>
    <r>
      <rPr>
        <b/>
        <sz val="12"/>
        <color theme="1"/>
        <rFont val="Montserrat"/>
      </rPr>
      <t xml:space="preserve">Nota: </t>
    </r>
    <r>
      <rPr>
        <sz val="12"/>
        <color theme="1"/>
        <rFont val="Montserrat"/>
      </rPr>
      <t xml:space="preserve">para las causas en tramite del ejercicio 2025 es un aproximado ya que el valor mas real seria al realizar el procesamiento de informacion para el censo 2025</t>
    </r>
  </si>
  <si>
    <r>
      <rPr>
        <b/>
        <sz val="12"/>
        <color theme="1"/>
        <rFont val="Arial"/>
      </rPr>
      <t>Nota:</t>
    </r>
    <r>
      <rPr>
        <sz val="12"/>
        <color theme="1"/>
        <rFont val="Arial"/>
      </rPr>
      <t xml:space="preserve"> para el apartado de adolescentes se considera (Acusatorio y tradicional)</t>
    </r>
  </si>
  <si>
    <t xml:space="preserve">4. Delitos en las causas penales ingresadas (por año) agregar filas si es necesario para cada año.</t>
  </si>
  <si>
    <t xml:space="preserve">Ejercicio 2022</t>
  </si>
  <si>
    <t>Delito</t>
  </si>
  <si>
    <t xml:space="preserve">ABANDONO DE ATROPELLADO</t>
  </si>
  <si>
    <t xml:space="preserve">ABANDONO DE MENORES O INCAPACES</t>
  </si>
  <si>
    <t>ABIGEATO</t>
  </si>
  <si>
    <t>ABORTO</t>
  </si>
  <si>
    <t xml:space="preserve">ABUSO DE AUTORIDAD</t>
  </si>
  <si>
    <t xml:space="preserve">ABUSO DE CONFIANZA</t>
  </si>
  <si>
    <t xml:space="preserve">ABUSO SEXUAL</t>
  </si>
  <si>
    <t xml:space="preserve">ADMINISTRACIÓN FRAUDULENTA</t>
  </si>
  <si>
    <t xml:space="preserve">ALLANAMIENTO DE MORADA</t>
  </si>
  <si>
    <t>AMENAZAS</t>
  </si>
  <si>
    <t xml:space="preserve">APROVECHAMIENTO SEXUAL</t>
  </si>
  <si>
    <t>ASALTO</t>
  </si>
  <si>
    <t xml:space="preserve">ATAQUES A LAS VÍAS DE COMUNICACIÓN Y A LOS MEDIOS DE TRANSPORTE</t>
  </si>
  <si>
    <t xml:space="preserve">COBRANZA EXTRAJUDICIAL ILEGAL</t>
  </si>
  <si>
    <t>COHECHO</t>
  </si>
  <si>
    <t xml:space="preserve">COHECHO DE PARTICULARES</t>
  </si>
  <si>
    <t>CONCUSIÓN</t>
  </si>
  <si>
    <t xml:space="preserve">CORRUPCIÓN DE MENORES</t>
  </si>
  <si>
    <t xml:space="preserve">DAÑO EN LA PROPIEDAD</t>
  </si>
  <si>
    <t xml:space="preserve">DELITO COMETIDO EN EL EJERCICIO DE UNA ACTIVIDAD PROFESIONAL O TÉCNICA</t>
  </si>
  <si>
    <t xml:space="preserve">DELITO CONTRA EL COMERCIO, LA INDUSTRIA, LA AGRICULTURA Y LA ESTABILIDAD ECONÓMICA</t>
  </si>
  <si>
    <t xml:space="preserve">DELITO CONTRA EL TRABAJO Y PREVISIÓN SOCIAL</t>
  </si>
  <si>
    <t xml:space="preserve">DELITO CONTRA LA FILIACIÓN Y EL ESTADO FAMILIAR DE LAS PERSONAS</t>
  </si>
  <si>
    <t xml:space="preserve">DELITO CONTRA LA SALUD EN SU MODALIDAD DE NARCOMENUDEO</t>
  </si>
  <si>
    <t xml:space="preserve">DELITO DE ABOGADOS, DEFENSORES Y LITIGANTES</t>
  </si>
  <si>
    <t xml:space="preserve">DELITOS COMETIDOS POR SERVIDORES PÚBLICOS</t>
  </si>
  <si>
    <t xml:space="preserve">DELITOS CONTRA EL AMBIENTE, LOS RECURSOS NATURALES, LA GESTIÓN AMBIENTAL Y LA PROTECCIÓN DE LA FAUNA</t>
  </si>
  <si>
    <t xml:space="preserve">DELITOS CONTRA LA ADMINISTRACIÓN DE JUSTICIA COMETIDOS POR SERVIDORES PÚBLICOS</t>
  </si>
  <si>
    <t xml:space="preserve">DELITOS CONTRA LA VIDA, INTEGRIDAD Y DIGNIDAD DE LOS ANIMALES</t>
  </si>
  <si>
    <t xml:space="preserve">DELITOS ELECTORALES COMETIDOS POR SERVIDORES PÚBLICOS</t>
  </si>
  <si>
    <t xml:space="preserve">DELITOS EN MATERIA ELECTORAL</t>
  </si>
  <si>
    <t xml:space="preserve">DESAPARICIÓN FORZADA DE PERSONAS</t>
  </si>
  <si>
    <t xml:space="preserve">DESOBEDIENCIA Y RESISTENCIA DE PARTICULARES</t>
  </si>
  <si>
    <t>DESPOJO</t>
  </si>
  <si>
    <t>DISCRIMINACIÓN</t>
  </si>
  <si>
    <t xml:space="preserve">EJERCICIO INDEBIDO DEL SERVICIO PÚBLICO</t>
  </si>
  <si>
    <t>ESTUPRO</t>
  </si>
  <si>
    <t xml:space="preserve">EVASIÓN DE PRESOS</t>
  </si>
  <si>
    <t>EXTORSIÓN</t>
  </si>
  <si>
    <t xml:space="preserve">FALSEDAD ANTE LA AUTORIDAD</t>
  </si>
  <si>
    <t xml:space="preserve">FALSIFICACIÓN DE DOCUMENTOS Y USO DE DOCUMENTOS FALSOS</t>
  </si>
  <si>
    <t>FEMINICIDIO</t>
  </si>
  <si>
    <t>FRAUDE</t>
  </si>
  <si>
    <t xml:space="preserve">FRAUDE PROCESAL</t>
  </si>
  <si>
    <t>HOMICIDIO</t>
  </si>
  <si>
    <t xml:space="preserve">HOSTIGAMIENTO SEXUAL</t>
  </si>
  <si>
    <t xml:space="preserve">IMPUTACIÓN DE HECHOS FALSOS Y SIMULACIÓN DE PRUEBAS</t>
  </si>
  <si>
    <t xml:space="preserve">INCUMPLIMIENTO DE LAS OBLIGACIONES ALIMENTARIAS</t>
  </si>
  <si>
    <t xml:space="preserve">INCUMPLIMIENTO DE UN DEBER LEGAL</t>
  </si>
  <si>
    <t>LESIONES</t>
  </si>
  <si>
    <t xml:space="preserve">NEGOCIACIONES INDEBIDAS</t>
  </si>
  <si>
    <t xml:space="preserve">OMISIÓN DE AUXILIO</t>
  </si>
  <si>
    <t>PECULADO</t>
  </si>
  <si>
    <t xml:space="preserve">PELIGRO DE CONTAGIO DE ENFERMEDADES</t>
  </si>
  <si>
    <t xml:space="preserve">PELIGRO DE DEVASTACIÓN</t>
  </si>
  <si>
    <t xml:space="preserve">PORTACIÓN Y FABRICACIÓN DE APARATOS PROHIBIDOS</t>
  </si>
  <si>
    <t xml:space="preserve">PORTACIÓN, FABRICACIÓN Y ACOPIO DE ARMAS PROHIBIDAS</t>
  </si>
  <si>
    <t xml:space="preserve">PRIVACIÓN ILEGAL DE LA LIBERTAD</t>
  </si>
  <si>
    <t xml:space="preserve">QUEBRANTAMIENTO DE SELLOS</t>
  </si>
  <si>
    <t>RAPTO</t>
  </si>
  <si>
    <t>RECEPTACIÓN</t>
  </si>
  <si>
    <t>ROBO</t>
  </si>
  <si>
    <t xml:space="preserve">SECUESTRO Y SIMULACIÓN DE SECUESTRO</t>
  </si>
  <si>
    <t xml:space="preserve">SUSTRACCIÓN DE MENORES E INCAPACES</t>
  </si>
  <si>
    <t xml:space="preserve">TRATA DE PERSONAS</t>
  </si>
  <si>
    <t xml:space="preserve">ULTRAJES A LA AUTORIDAD</t>
  </si>
  <si>
    <t xml:space="preserve">ULTRAJES A LA MORAL</t>
  </si>
  <si>
    <t xml:space="preserve">USO ILÍCITO DE ATRIBUCIONES Y FACULTADES</t>
  </si>
  <si>
    <t xml:space="preserve">USURPACIÓN DE FUNCIONES</t>
  </si>
  <si>
    <t xml:space="preserve">USURPACIÓN DE FUNCIONES PÚBLICAS Y USO INDEBIDO DE UNIFORMES Y CONDECORACIONES</t>
  </si>
  <si>
    <t xml:space="preserve">USURPACIÓN DE IDENTIDAD</t>
  </si>
  <si>
    <t xml:space="preserve">USURPACIÓN DE PROFESIONES</t>
  </si>
  <si>
    <t>VIOLACIÓN</t>
  </si>
  <si>
    <t xml:space="preserve">VIOLACIÓN A LA INTIMIDAD SEXUAL</t>
  </si>
  <si>
    <t xml:space="preserve">VIOLENCIA FAMILIAR</t>
  </si>
  <si>
    <t xml:space="preserve">Ejercicio 2023</t>
  </si>
  <si>
    <t xml:space="preserve">APROVECHAMIENTO INDEBIDO DE BIENES EJIDALES O COMUNALES</t>
  </si>
  <si>
    <t xml:space="preserve">DELITO CONTRA EL RESPETO A LOS MUERTOS Y CONTRA LAS NORMAS DE INHUMACIÓN Y EXHUMACIÓN</t>
  </si>
  <si>
    <t xml:space="preserve">FALSIFICACIÓN Y USO INDEBIDO DE SELLOS, MARCAS, LLAVES, CONTRASEÑAS Y OTROS OBJETOS</t>
  </si>
  <si>
    <t xml:space="preserve">FRAUDE ESPECÍFICO</t>
  </si>
  <si>
    <t xml:space="preserve">INFIDELIDAD DE LA CUSTODIA DE DOCUMENTOS Y VIOLACIÓN DE SECRETOS</t>
  </si>
  <si>
    <t>PANDILLA</t>
  </si>
  <si>
    <t xml:space="preserve">POSESIÓN DE HIDROCARBUROS</t>
  </si>
  <si>
    <t xml:space="preserve">RESPONSABILIDAD PROFESIONAL Y TÉCNICA</t>
  </si>
  <si>
    <t xml:space="preserve">REVELACIÓN DE SECRETO</t>
  </si>
  <si>
    <t xml:space="preserve">SEDICIÓN Y OTROS DESORDENES PÚBLICOS</t>
  </si>
  <si>
    <t>TORTURA</t>
  </si>
  <si>
    <t xml:space="preserve">TRÁFICO DE INFLUENCIA</t>
  </si>
  <si>
    <t>USURA</t>
  </si>
  <si>
    <t xml:space="preserve">Ejercicio 2024</t>
  </si>
  <si>
    <t xml:space="preserve">ACTOS LIBIDINOSOS</t>
  </si>
  <si>
    <t xml:space="preserve">ALTERACIÓN DE LA IMAGEN URBANA</t>
  </si>
  <si>
    <t>BIGAMIA</t>
  </si>
  <si>
    <t xml:space="preserve">DELITOS ELECTORALES COMETIDOS POR FUNCIONARIOS ELECTORALES</t>
  </si>
  <si>
    <t xml:space="preserve">DELITOS ELECTORALES COMETIDOS POR PARTICULARES</t>
  </si>
  <si>
    <t>ENCUBRIMIENTO</t>
  </si>
  <si>
    <t xml:space="preserve">OPERACIONES CON RECURSOS DE PROCEDENCIA ILÍCITA</t>
  </si>
  <si>
    <t xml:space="preserve">PREVISTO  Y SANCIONADO EN EL ARTÍCULO 113  BIS DE LA LEY DE INSTITUCIONES DE CREDITO.</t>
  </si>
  <si>
    <t xml:space="preserve">VIOLACIÓN DE CORRESPONDENCIA</t>
  </si>
  <si>
    <t xml:space="preserve">Ejercicio 2025</t>
  </si>
  <si>
    <t xml:space="preserve">DE LOS DELITOS VINCULADOS CON LA DESAPARICIÓN DE PERSONAS</t>
  </si>
  <si>
    <t xml:space="preserve">DELITO CONTRA LA RIQUEZA FORESTAL</t>
  </si>
  <si>
    <t xml:space="preserve">DELITOS POR DESMANTELAMIENTO, ENAJENACIÓN O TRÁFICO, FALSIFICACIÓN, ALTERACIÓN O MODIFICACIÓN, TRASLADO, UTILIZACIÓN, COMERCIALIZACIÓN O TRAFICACIÓN  DE VEHÍCULOS ROBADOS</t>
  </si>
  <si>
    <t xml:space="preserve">DESAPARICIÓN COMETIDA POR PARTICULARES</t>
  </si>
  <si>
    <t xml:space="preserve">DISPARO CON ARMA DE FUEGO SIN CAUSA JUSTIFICADA</t>
  </si>
  <si>
    <t>SECUESTRO</t>
  </si>
  <si>
    <t xml:space="preserve">5.  Personas procesadas y/o imputados registrados en las causas penales ingresadas</t>
  </si>
  <si>
    <t xml:space="preserve">6.  Personas sentenciadas registradas</t>
  </si>
  <si>
    <t xml:space="preserve">7. Solicitudes, penales y expedientes en materia penal registrados por el órgano o unidad administrativa encargada de la justicia alternativa y/o mecanismos alternativos de solución de controversias.</t>
  </si>
  <si>
    <t>Recibidas</t>
  </si>
  <si>
    <t>Admitidas</t>
  </si>
  <si>
    <t>Abiertos</t>
  </si>
  <si>
    <t>Iniciados</t>
  </si>
  <si>
    <t xml:space="preserve">Concluidos por acuerdos reparatorios</t>
  </si>
  <si>
    <t xml:space="preserve">Sujetos a seguimiento ingresados</t>
  </si>
  <si>
    <t xml:space="preserve">Sujetos a seguimiento concluidos</t>
  </si>
  <si>
    <t xml:space="preserve">Sujetos a seguimiento pendientes</t>
  </si>
  <si>
    <t>Pendientes</t>
  </si>
  <si>
    <t xml:space="preserve">8. Delitos en los expedientes penales ingresadas en el Centro Estatal de Justicia Alternativa</t>
  </si>
  <si>
    <t xml:space="preserve">Penal tradicional </t>
  </si>
  <si>
    <t xml:space="preserve">Justicia para adolescentes tradicional</t>
  </si>
  <si>
    <t xml:space="preserve">Justicia para adolescentes acusatorio</t>
  </si>
  <si>
    <t xml:space="preserve">FORMATO B</t>
  </si>
  <si>
    <t xml:space="preserve">1. Solicitudes de intervención pericial de los servicios periciales y/o servicio médico forense</t>
  </si>
  <si>
    <t>Concluidas</t>
  </si>
  <si>
    <t xml:space="preserve">Pendientes de concluir</t>
  </si>
  <si>
    <t xml:space="preserve">2.  Órdenes de aprensión cumplidas</t>
  </si>
  <si>
    <t>Penal</t>
  </si>
  <si>
    <t>Acusatorio</t>
  </si>
  <si>
    <t>Tradicional</t>
  </si>
  <si>
    <t xml:space="preserve">3. Carpetas de investigación</t>
  </si>
  <si>
    <t>Iniciadas</t>
  </si>
  <si>
    <t>Judicializadas</t>
  </si>
  <si>
    <t xml:space="preserve">Pendientes </t>
  </si>
  <si>
    <t xml:space="preserve">4. Búsqueda de personas desaparecidas</t>
  </si>
  <si>
    <t xml:space="preserve">Personas reportadas</t>
  </si>
  <si>
    <t xml:space="preserve">Personas localizadas</t>
  </si>
  <si>
    <t xml:space="preserve">Personas  no localizadas</t>
  </si>
  <si>
    <t xml:space="preserve">De las personas reportadas  hombres</t>
  </si>
  <si>
    <t xml:space="preserve">De las personas reportadas  mujeres</t>
  </si>
  <si>
    <t xml:space="preserve">Personas localizadas sin vida</t>
  </si>
  <si>
    <t xml:space="preserve">Personas imputadas</t>
  </si>
  <si>
    <t xml:space="preserve">Sentencias emitidas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</si>
</sst>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Aptos Narrow"/>
      <scheme val="minor"/>
    </font>
    <font>
      <sz val="12.000000"/>
      <color theme="1"/>
      <name val="Montserrat"/>
    </font>
    <font>
      <b/>
      <sz val="12.000000"/>
      <color indexed="2"/>
      <name val="Montserrat"/>
    </font>
    <font>
      <sz val="12.000000"/>
      <color indexed="2"/>
      <name val="Montserrat"/>
    </font>
    <font>
      <b/>
      <sz val="12.000000"/>
      <color theme="1"/>
      <name val="Montserrat"/>
    </font>
    <font>
      <b/>
      <sz val="12.000000"/>
      <color indexed="65"/>
      <name val="Montserrat"/>
    </font>
    <font/>
    <font>
      <sz val="12.000000"/>
      <name val="Montserrat"/>
    </font>
    <font>
      <b/>
      <sz val="12.000000"/>
      <name val="Montserrat"/>
    </font>
    <font>
      <sz val="12.000000"/>
      <color theme="1"/>
      <name val="Arial"/>
    </font>
    <font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C0504D"/>
        <bgColor rgb="FFC0504D"/>
      </patternFill>
    </fill>
    <fill>
      <patternFill patternType="solid">
        <fgColor indexed="52"/>
        <bgColor indexed="52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</fills>
  <borders count="14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3">
    <xf fontId="0" fillId="0" borderId="0" numFmtId="0" xfId="0" applyAlignment="1">
      <alignment readingOrder="0"/>
    </xf>
    <xf fontId="1" fillId="0" borderId="0" numFmtId="0" xfId="0" applyFont="1"/>
    <xf fontId="2" fillId="0" borderId="0" numFmtId="0" xfId="0" applyFont="1" applyAlignment="1">
      <alignment vertical="center"/>
    </xf>
    <xf fontId="3" fillId="0" borderId="0" numFmtId="0" xfId="0" applyFont="1"/>
    <xf fontId="4" fillId="2" borderId="0" numFmtId="0" xfId="0" applyFont="1" applyFill="1"/>
    <xf fontId="1" fillId="2" borderId="0" numFmtId="0" xfId="0" applyFont="1" applyFill="1"/>
    <xf fontId="5" fillId="3" borderId="1" numFmtId="0" xfId="0" applyFont="1" applyFill="1" applyBorder="1" applyAlignment="1">
      <alignment horizontal="center" vertical="center" wrapText="1"/>
    </xf>
    <xf fontId="5" fillId="3" borderId="2" numFmtId="0" xfId="0" applyFont="1" applyFill="1" applyBorder="1" applyAlignment="1">
      <alignment horizontal="center" vertical="center" wrapText="1"/>
    </xf>
    <xf fontId="6" fillId="0" borderId="3" numFmtId="0" xfId="0" applyFont="1" applyBorder="1"/>
    <xf fontId="6" fillId="0" borderId="4" numFmtId="0" xfId="0" applyFont="1" applyBorder="1"/>
    <xf fontId="5" fillId="3" borderId="5" numFmtId="0" xfId="0" applyFont="1" applyFill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5" numFmtId="3" xfId="0" applyNumberFormat="1" applyFont="1" applyBorder="1" applyAlignment="1">
      <alignment horizontal="center" readingOrder="0" vertical="center" wrapText="1"/>
    </xf>
    <xf fontId="1" fillId="0" borderId="5" numFmtId="0" xfId="0" applyFont="1" applyBorder="1" applyAlignment="1">
      <alignment horizontal="center" readingOrder="0" vertical="center" wrapText="1"/>
    </xf>
    <xf fontId="1" fillId="0" borderId="5" numFmtId="0" xfId="0" applyFont="1" applyBorder="1" applyAlignment="1">
      <alignment horizontal="center" vertical="center" wrapText="1"/>
    </xf>
    <xf fontId="4" fillId="0" borderId="5" numFmtId="3" xfId="0" applyNumberFormat="1" applyFont="1" applyBorder="1" applyAlignment="1">
      <alignment horizontal="center" vertical="center" wrapText="1"/>
    </xf>
    <xf fontId="1" fillId="0" borderId="5" numFmtId="3" xfId="0" applyNumberFormat="1" applyFont="1" applyBorder="1" applyAlignment="1">
      <alignment horizontal="center" vertical="center" wrapText="1"/>
    </xf>
    <xf fontId="4" fillId="0" borderId="0" numFmtId="0" xfId="0" applyFont="1"/>
    <xf fontId="5" fillId="3" borderId="6" numFmtId="0" xfId="0" applyFont="1" applyFill="1" applyBorder="1" applyAlignment="1">
      <alignment horizontal="center" vertical="center" wrapText="1"/>
    </xf>
    <xf fontId="6" fillId="0" borderId="7" numFmtId="0" xfId="0" applyFont="1" applyBorder="1"/>
    <xf fontId="5" fillId="3" borderId="6" numFmtId="0" xfId="0" applyFont="1" applyFill="1" applyBorder="1" applyAlignment="1">
      <alignment horizontal="center" vertical="center"/>
    </xf>
    <xf fontId="6" fillId="0" borderId="8" numFmtId="0" xfId="0" applyFont="1" applyBorder="1"/>
    <xf fontId="6" fillId="0" borderId="5" numFmtId="0" xfId="0" applyFont="1" applyBorder="1"/>
    <xf fontId="5" fillId="3" borderId="9" numFmtId="0" xfId="0" applyFont="1" applyFill="1" applyBorder="1" applyAlignment="1">
      <alignment horizontal="center" vertical="center" wrapText="1"/>
    </xf>
    <xf fontId="5" fillId="3" borderId="4" numFmtId="0" xfId="0" applyFont="1" applyFill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1" fillId="4" borderId="5" numFmtId="3" xfId="0" applyNumberFormat="1" applyFont="1" applyFill="1" applyBorder="1" applyAlignment="1">
      <alignment horizontal="center" readingOrder="0" vertical="center" wrapText="1"/>
    </xf>
    <xf fontId="4" fillId="0" borderId="5" numFmtId="3" xfId="0" applyNumberFormat="1" applyFont="1" applyBorder="1" applyAlignment="1">
      <alignment horizontal="center" readingOrder="0" vertical="center" wrapText="1"/>
    </xf>
    <xf fontId="7" fillId="5" borderId="5" numFmtId="0" xfId="0" applyFont="1" applyFill="1" applyBorder="1" applyAlignment="1">
      <alignment horizontal="center" vertical="center" wrapText="1"/>
    </xf>
    <xf fontId="7" fillId="5" borderId="5" numFmtId="0" xfId="0" applyFont="1" applyFill="1" applyBorder="1" applyAlignment="1">
      <alignment horizontal="center" readingOrder="0" vertical="center" wrapText="1"/>
    </xf>
    <xf fontId="7" fillId="5" borderId="5" numFmtId="3" xfId="0" applyNumberFormat="1" applyFont="1" applyFill="1" applyBorder="1" applyAlignment="1">
      <alignment horizontal="center" readingOrder="0" vertical="center" wrapText="1"/>
    </xf>
    <xf fontId="7" fillId="5" borderId="5" numFmtId="3" xfId="0" applyNumberFormat="1" applyFont="1" applyFill="1" applyBorder="1" applyAlignment="1">
      <alignment horizontal="center" vertical="center" wrapText="1"/>
    </xf>
    <xf fontId="8" fillId="5" borderId="5" numFmtId="3" xfId="0" applyNumberFormat="1" applyFont="1" applyFill="1" applyBorder="1" applyAlignment="1">
      <alignment horizontal="center" readingOrder="0" vertical="center" wrapText="1"/>
    </xf>
    <xf fontId="8" fillId="5" borderId="5" numFmtId="3" xfId="0" applyNumberFormat="1" applyFont="1" applyFill="1" applyBorder="1" applyAlignment="1">
      <alignment horizontal="center" vertical="center" wrapText="1"/>
    </xf>
    <xf fontId="4" fillId="0" borderId="0" numFmtId="0" xfId="0" applyFont="1" applyAlignment="1">
      <alignment readingOrder="0"/>
    </xf>
    <xf fontId="1" fillId="0" borderId="0" numFmtId="0" xfId="0" applyFont="1" applyAlignment="1">
      <alignment readingOrder="0"/>
    </xf>
    <xf fontId="5" fillId="3" borderId="1" numFmtId="0" xfId="0" applyFont="1" applyFill="1" applyBorder="1" applyAlignment="1">
      <alignment vertical="center" wrapText="1"/>
    </xf>
    <xf fontId="5" fillId="3" borderId="4" numFmtId="0" xfId="0" applyFont="1" applyFill="1" applyBorder="1" applyAlignment="1">
      <alignment vertical="center" wrapText="1"/>
    </xf>
    <xf fontId="9" fillId="0" borderId="0" numFmtId="0" xfId="0" applyFont="1" applyAlignment="1">
      <alignment readingOrder="0"/>
    </xf>
    <xf fontId="5" fillId="3" borderId="2" numFmtId="0" xfId="0" applyFont="1" applyFill="1" applyBorder="1" applyAlignment="1">
      <alignment horizontal="center" vertical="center"/>
    </xf>
    <xf fontId="6" fillId="0" borderId="10" numFmtId="0" xfId="0" applyFont="1" applyBorder="1"/>
    <xf fontId="5" fillId="6" borderId="0" numFmtId="0" xfId="0" applyFont="1" applyFill="1" applyAlignment="1">
      <alignment horizontal="center" vertical="center"/>
    </xf>
    <xf fontId="5" fillId="3" borderId="11" numFmtId="0" xfId="0" applyFont="1" applyFill="1" applyBorder="1" applyAlignment="1">
      <alignment horizontal="center" vertical="center" wrapText="1"/>
    </xf>
    <xf fontId="5" fillId="6" borderId="0" numFmtId="0" xfId="0" applyFont="1" applyFill="1" applyAlignment="1">
      <alignment horizontal="center" vertical="center" wrapText="1"/>
    </xf>
    <xf fontId="7" fillId="0" borderId="12" numFmtId="0" xfId="0" applyFont="1" applyBorder="1" applyAlignment="1">
      <alignment horizontal="left" readingOrder="0" vertical="center"/>
    </xf>
    <xf fontId="7" fillId="0" borderId="12" numFmtId="3" xfId="0" applyNumberFormat="1" applyFont="1" applyBorder="1" applyAlignment="1">
      <alignment horizontal="center" readingOrder="0" vertical="center"/>
    </xf>
    <xf fontId="7" fillId="0" borderId="12" numFmtId="0" xfId="0" applyFont="1" applyBorder="1" applyAlignment="1">
      <alignment horizontal="center" readingOrder="0" vertical="center"/>
    </xf>
    <xf fontId="8" fillId="0" borderId="12" numFmtId="3" xfId="0" applyNumberFormat="1" applyFont="1" applyBorder="1" applyAlignment="1">
      <alignment horizontal="center" vertical="center"/>
    </xf>
    <xf fontId="8" fillId="0" borderId="0" numFmtId="0" xfId="0" applyFont="1" applyAlignment="1">
      <alignment horizontal="center" vertical="center"/>
    </xf>
    <xf fontId="8" fillId="0" borderId="12" numFmtId="0" xfId="0" applyFont="1" applyBorder="1" applyAlignment="1">
      <alignment horizontal="center" vertical="center"/>
    </xf>
    <xf fontId="1" fillId="0" borderId="12" numFmtId="0" xfId="0" applyFont="1" applyBorder="1" applyAlignment="1">
      <alignment horizontal="left" readingOrder="0"/>
    </xf>
    <xf fontId="1" fillId="0" borderId="12" numFmtId="0" xfId="0" applyFont="1" applyBorder="1" applyAlignment="1">
      <alignment horizontal="center" readingOrder="0"/>
    </xf>
    <xf fontId="7" fillId="0" borderId="12" numFmtId="0" xfId="0" applyFont="1" applyBorder="1" applyAlignment="1">
      <alignment readingOrder="0" vertical="center"/>
    </xf>
    <xf fontId="1" fillId="0" borderId="12" numFmtId="0" xfId="0" applyFont="1" applyBorder="1" applyAlignment="1">
      <alignment readingOrder="0"/>
    </xf>
    <xf fontId="5" fillId="3" borderId="3" numFmtId="0" xfId="0" applyFont="1" applyFill="1" applyBorder="1" applyAlignment="1">
      <alignment horizontal="center" vertical="center" wrapText="1"/>
    </xf>
    <xf fontId="4" fillId="0" borderId="0" numFmtId="3" xfId="0" applyNumberFormat="1" applyFont="1" applyAlignment="1">
      <alignment horizontal="center" vertical="center" wrapText="1"/>
    </xf>
    <xf fontId="1" fillId="2" borderId="5" numFmtId="3" xfId="0" applyNumberFormat="1" applyFont="1" applyFill="1" applyBorder="1" applyAlignment="1">
      <alignment horizontal="center" readingOrder="0" vertical="center" wrapText="1"/>
    </xf>
    <xf fontId="1" fillId="2" borderId="5" numFmtId="0" xfId="0" applyFont="1" applyFill="1" applyBorder="1" applyAlignment="1">
      <alignment horizontal="center" readingOrder="0" vertical="center" wrapText="1"/>
    </xf>
    <xf fontId="5" fillId="3" borderId="13" numFmtId="0" xfId="0" applyFont="1" applyFill="1" applyBorder="1" applyAlignment="1">
      <alignment horizontal="center" vertical="center" wrapText="1"/>
    </xf>
    <xf fontId="7" fillId="0" borderId="5" numFmtId="0" xfId="0" applyFont="1" applyBorder="1" applyAlignment="1">
      <alignment horizontal="center" vertical="center" wrapText="1"/>
    </xf>
    <xf fontId="8" fillId="0" borderId="5" numFmtId="3" xfId="0" applyNumberFormat="1" applyFont="1" applyBorder="1" applyAlignment="1">
      <alignment horizontal="center" vertical="center" wrapText="1"/>
    </xf>
    <xf fontId="5" fillId="3" borderId="4" numFmtId="0" xfId="0" applyFont="1" applyFill="1" applyBorder="1" applyAlignment="1">
      <alignment horizontal="center" vertical="center"/>
    </xf>
    <xf fontId="5" fillId="3" borderId="5" numFmtId="0" xfId="0" applyFont="1" applyFill="1" applyBorder="1" applyAlignment="1">
      <alignment horizontal="center" vertical="center"/>
    </xf>
    <xf fontId="8" fillId="0" borderId="4" numFmtId="0" xfId="0" applyFont="1" applyBorder="1" applyAlignment="1">
      <alignment vertical="center"/>
    </xf>
    <xf fontId="8" fillId="0" borderId="5" numFmtId="3" xfId="0" applyNumberFormat="1" applyFont="1" applyBorder="1" applyAlignment="1">
      <alignment horizontal="center" vertical="center"/>
    </xf>
    <xf fontId="8" fillId="0" borderId="5" numFmtId="0" xfId="0" applyFont="1" applyBorder="1" applyAlignment="1">
      <alignment horizontal="center" vertical="center"/>
    </xf>
    <xf fontId="8" fillId="6" borderId="0" numFmtId="0" xfId="0" applyFont="1" applyFill="1" applyAlignment="1">
      <alignment horizontal="center" vertical="center"/>
    </xf>
    <xf fontId="1" fillId="0" borderId="0" numFmtId="0" xfId="0" applyFont="1" applyAlignment="1">
      <alignment horizontal="center" readingOrder="0"/>
    </xf>
    <xf fontId="10" fillId="0" borderId="0" numFmtId="0" xfId="0" applyFont="1" applyAlignment="1">
      <alignment readingOrder="0"/>
    </xf>
    <xf fontId="10" fillId="0" borderId="0" numFmtId="0" xfId="0" applyFont="1" applyAlignment="1">
      <alignment horizontal="center" readingOrder="0"/>
    </xf>
    <xf fontId="4" fillId="0" borderId="0" numFmtId="0" xfId="0" applyFont="1" applyAlignment="1">
      <alignment horizontal="left" vertical="center"/>
    </xf>
    <xf fontId="5" fillId="3" borderId="7" numFmtId="0" xfId="0" applyFont="1" applyFill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5.3799999999999999"/>
    <col customWidth="1" min="2" max="2" width="14.380000000000001"/>
    <col customWidth="1" min="3" max="3" width="18.879999999999999"/>
    <col customWidth="1" min="4" max="4" width="19.629999999999999"/>
    <col customWidth="1" min="5" max="6" width="20"/>
    <col customWidth="1" min="7" max="8" width="18.629999999999999"/>
    <col customWidth="1" min="9" max="9" width="18.879999999999999"/>
    <col customWidth="1" min="10" max="10" width="19.379999999999999"/>
    <col customWidth="1" min="11" max="12" width="20.379999999999999"/>
    <col customWidth="1" min="13" max="13" width="19.379999999999999"/>
    <col customWidth="1" min="14" max="14" width="19"/>
    <col customWidth="1" min="15" max="16" width="20.75"/>
    <col customWidth="1" min="17" max="17" width="21.379999999999999"/>
    <col customWidth="1" min="18" max="18" width="20.879999999999999"/>
    <col customWidth="1" min="19" max="19" width="19.879999999999999"/>
    <col customWidth="1" min="20" max="20" width="11.380000000000001"/>
    <col customWidth="1" min="21" max="26" width="10.630000000000001"/>
  </cols>
  <sheetData>
    <row r="1" ht="30" customHeight="1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4" t="s">
        <v>1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8.25" customHeight="1">
      <c r="A4" s="1"/>
      <c r="B4" s="6"/>
      <c r="C4" s="7" t="s">
        <v>2</v>
      </c>
      <c r="D4" s="8"/>
      <c r="E4" s="7" t="s">
        <v>3</v>
      </c>
      <c r="F4" s="8"/>
      <c r="G4" s="7" t="s">
        <v>4</v>
      </c>
      <c r="H4" s="8"/>
      <c r="I4" s="7" t="s">
        <v>5</v>
      </c>
      <c r="J4" s="7" t="s">
        <v>6</v>
      </c>
      <c r="K4" s="8"/>
      <c r="L4" s="7" t="s">
        <v>7</v>
      </c>
      <c r="M4" s="8"/>
      <c r="N4" s="7" t="s">
        <v>8</v>
      </c>
      <c r="O4" s="8"/>
      <c r="P4" s="7" t="s">
        <v>9</v>
      </c>
      <c r="Q4" s="8"/>
      <c r="R4" s="6" t="s">
        <v>10</v>
      </c>
      <c r="S4" s="6" t="s">
        <v>11</v>
      </c>
      <c r="T4" s="1"/>
      <c r="U4" s="1"/>
      <c r="V4" s="1"/>
      <c r="W4" s="1"/>
      <c r="X4" s="1"/>
      <c r="Y4" s="1"/>
      <c r="Z4" s="1"/>
    </row>
    <row r="5" ht="18.75" customHeight="1">
      <c r="A5" s="1"/>
      <c r="B5" s="9"/>
      <c r="C5" s="10" t="s">
        <v>12</v>
      </c>
      <c r="D5" s="10" t="s">
        <v>13</v>
      </c>
      <c r="E5" s="10" t="s">
        <v>12</v>
      </c>
      <c r="F5" s="10" t="s">
        <v>13</v>
      </c>
      <c r="G5" s="10" t="s">
        <v>12</v>
      </c>
      <c r="H5" s="10" t="s">
        <v>13</v>
      </c>
      <c r="I5" s="10" t="s">
        <v>12</v>
      </c>
      <c r="J5" s="10" t="s">
        <v>12</v>
      </c>
      <c r="K5" s="10" t="s">
        <v>13</v>
      </c>
      <c r="L5" s="10" t="s">
        <v>12</v>
      </c>
      <c r="M5" s="10" t="s">
        <v>13</v>
      </c>
      <c r="N5" s="10" t="s">
        <v>12</v>
      </c>
      <c r="O5" s="10" t="s">
        <v>13</v>
      </c>
      <c r="P5" s="10" t="s">
        <v>12</v>
      </c>
      <c r="Q5" s="10" t="s">
        <v>13</v>
      </c>
      <c r="R5" s="9"/>
      <c r="S5" s="9"/>
      <c r="T5" s="1"/>
      <c r="U5" s="1"/>
      <c r="V5" s="1"/>
      <c r="W5" s="1"/>
      <c r="X5" s="1"/>
      <c r="Y5" s="1"/>
      <c r="Z5" s="1"/>
    </row>
    <row r="6" ht="18.75" customHeight="1">
      <c r="A6" s="1"/>
      <c r="B6" s="11">
        <v>2022</v>
      </c>
      <c r="C6" s="12"/>
      <c r="D6" s="12"/>
      <c r="E6" s="12"/>
      <c r="F6" s="12"/>
      <c r="G6" s="13"/>
      <c r="H6" s="13"/>
      <c r="I6" s="13"/>
      <c r="J6" s="13"/>
      <c r="K6" s="14"/>
      <c r="L6" s="14"/>
      <c r="M6" s="14"/>
      <c r="N6" s="14"/>
      <c r="O6" s="14"/>
      <c r="P6" s="14"/>
      <c r="Q6" s="14"/>
      <c r="R6" s="14"/>
      <c r="S6" s="15"/>
      <c r="T6" s="1"/>
      <c r="U6" s="1"/>
      <c r="V6" s="1"/>
      <c r="W6" s="1"/>
      <c r="X6" s="1"/>
      <c r="Y6" s="1"/>
      <c r="Z6" s="1"/>
    </row>
    <row r="7" ht="18.75" customHeight="1">
      <c r="A7" s="1"/>
      <c r="B7" s="11">
        <v>2023</v>
      </c>
      <c r="C7" s="12"/>
      <c r="D7" s="12"/>
      <c r="E7" s="12"/>
      <c r="F7" s="12"/>
      <c r="G7" s="12"/>
      <c r="H7" s="12"/>
      <c r="I7" s="13"/>
      <c r="J7" s="12"/>
      <c r="K7" s="16"/>
      <c r="L7" s="16"/>
      <c r="M7" s="16"/>
      <c r="N7" s="14"/>
      <c r="O7" s="14"/>
      <c r="P7" s="14"/>
      <c r="Q7" s="14"/>
      <c r="R7" s="14"/>
      <c r="S7" s="15"/>
      <c r="T7" s="1"/>
      <c r="U7" s="1"/>
      <c r="V7" s="1"/>
      <c r="W7" s="1"/>
      <c r="X7" s="1"/>
      <c r="Y7" s="1"/>
      <c r="Z7" s="1"/>
    </row>
    <row r="8" ht="18.75" customHeight="1">
      <c r="A8" s="1"/>
      <c r="B8" s="11">
        <v>2024</v>
      </c>
      <c r="C8" s="12"/>
      <c r="D8" s="12"/>
      <c r="E8" s="12"/>
      <c r="F8" s="12"/>
      <c r="G8" s="12"/>
      <c r="H8" s="12"/>
      <c r="I8" s="13"/>
      <c r="J8" s="12"/>
      <c r="K8" s="16"/>
      <c r="L8" s="16"/>
      <c r="M8" s="16"/>
      <c r="N8" s="14"/>
      <c r="O8" s="14"/>
      <c r="P8" s="14"/>
      <c r="Q8" s="14"/>
      <c r="R8" s="14"/>
      <c r="S8" s="15"/>
      <c r="T8" s="1"/>
      <c r="U8" s="1"/>
      <c r="V8" s="1"/>
      <c r="W8" s="1"/>
      <c r="X8" s="1"/>
      <c r="Y8" s="1"/>
      <c r="Z8" s="1"/>
    </row>
    <row r="9" ht="18.75" customHeight="1">
      <c r="A9" s="1"/>
      <c r="B9" s="11">
        <v>2025</v>
      </c>
      <c r="C9" s="12"/>
      <c r="D9" s="12"/>
      <c r="E9" s="12"/>
      <c r="F9" s="12"/>
      <c r="G9" s="12"/>
      <c r="H9" s="12"/>
      <c r="I9" s="13"/>
      <c r="J9" s="12"/>
      <c r="K9" s="16"/>
      <c r="L9" s="16"/>
      <c r="M9" s="16"/>
      <c r="N9" s="14"/>
      <c r="O9" s="14"/>
      <c r="P9" s="14"/>
      <c r="Q9" s="14"/>
      <c r="R9" s="14"/>
      <c r="S9" s="15"/>
      <c r="T9" s="1"/>
      <c r="U9" s="1"/>
      <c r="V9" s="1"/>
      <c r="W9" s="1"/>
      <c r="X9" s="1"/>
      <c r="Y9" s="1"/>
      <c r="Z9" s="1"/>
    </row>
    <row r="10" ht="1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17" t="s">
        <v>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6"/>
      <c r="C14" s="6" t="s">
        <v>15</v>
      </c>
      <c r="D14" s="18" t="s">
        <v>6</v>
      </c>
      <c r="E14" s="19"/>
      <c r="F14" s="18" t="s">
        <v>7</v>
      </c>
      <c r="G14" s="19"/>
      <c r="H14" s="20" t="s">
        <v>16</v>
      </c>
      <c r="I14" s="19"/>
      <c r="J14" s="18" t="s">
        <v>2</v>
      </c>
      <c r="K14" s="19"/>
      <c r="L14" s="18" t="s">
        <v>3</v>
      </c>
      <c r="M14" s="19"/>
      <c r="N14" s="18" t="s">
        <v>4</v>
      </c>
      <c r="O14" s="19"/>
      <c r="P14" s="6" t="s">
        <v>5</v>
      </c>
      <c r="Q14" s="18" t="s">
        <v>9</v>
      </c>
      <c r="R14" s="19"/>
      <c r="S14" s="6" t="s">
        <v>11</v>
      </c>
      <c r="T14" s="1"/>
      <c r="U14" s="1"/>
      <c r="V14" s="1"/>
      <c r="W14" s="1"/>
      <c r="X14" s="1"/>
      <c r="Y14" s="1"/>
      <c r="Z14" s="1"/>
    </row>
    <row r="15" ht="18.75" customHeight="1">
      <c r="A15" s="1"/>
      <c r="B15" s="9"/>
      <c r="C15" s="9"/>
      <c r="D15" s="21"/>
      <c r="E15" s="22"/>
      <c r="F15" s="21"/>
      <c r="G15" s="22"/>
      <c r="H15" s="21"/>
      <c r="I15" s="22"/>
      <c r="J15" s="21"/>
      <c r="K15" s="22"/>
      <c r="L15" s="21"/>
      <c r="M15" s="22"/>
      <c r="N15" s="21"/>
      <c r="O15" s="22"/>
      <c r="P15" s="9"/>
      <c r="Q15" s="21"/>
      <c r="R15" s="22"/>
      <c r="S15" s="9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23"/>
      <c r="C16" s="10"/>
      <c r="D16" s="24" t="s">
        <v>12</v>
      </c>
      <c r="E16" s="10" t="s">
        <v>13</v>
      </c>
      <c r="F16" s="24" t="s">
        <v>12</v>
      </c>
      <c r="G16" s="10" t="s">
        <v>13</v>
      </c>
      <c r="H16" s="24" t="s">
        <v>12</v>
      </c>
      <c r="I16" s="10" t="s">
        <v>13</v>
      </c>
      <c r="J16" s="24" t="s">
        <v>12</v>
      </c>
      <c r="K16" s="10" t="s">
        <v>13</v>
      </c>
      <c r="L16" s="24" t="s">
        <v>12</v>
      </c>
      <c r="M16" s="10" t="s">
        <v>13</v>
      </c>
      <c r="N16" s="24" t="s">
        <v>12</v>
      </c>
      <c r="O16" s="10" t="s">
        <v>13</v>
      </c>
      <c r="P16" s="24" t="s">
        <v>12</v>
      </c>
      <c r="Q16" s="24" t="s">
        <v>12</v>
      </c>
      <c r="R16" s="10" t="s">
        <v>13</v>
      </c>
      <c r="S16" s="10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25">
        <v>2022</v>
      </c>
      <c r="C17" s="14" t="s">
        <v>17</v>
      </c>
      <c r="D17" s="13">
        <v>18</v>
      </c>
      <c r="E17" s="13">
        <v>306</v>
      </c>
      <c r="F17" s="12">
        <v>5865</v>
      </c>
      <c r="G17" s="12">
        <v>757</v>
      </c>
      <c r="H17" s="13">
        <v>44</v>
      </c>
      <c r="I17" s="13">
        <v>6</v>
      </c>
      <c r="J17" s="26">
        <v>18422</v>
      </c>
      <c r="K17" s="12">
        <v>1714</v>
      </c>
      <c r="L17" s="26">
        <v>23720</v>
      </c>
      <c r="M17" s="12">
        <v>1815</v>
      </c>
      <c r="N17" s="26">
        <v>7558</v>
      </c>
      <c r="O17" s="12">
        <v>139</v>
      </c>
      <c r="P17" s="27">
        <v>1614</v>
      </c>
      <c r="Q17" s="15"/>
      <c r="R17" s="15"/>
      <c r="S17" s="15">
        <f t="shared" ref="S17:S24" si="0">SUM(D17:R17)</f>
        <v>61978</v>
      </c>
      <c r="T17" s="1"/>
      <c r="U17" s="1"/>
      <c r="V17" s="1"/>
      <c r="W17" s="1"/>
      <c r="X17" s="1"/>
      <c r="Y17" s="1"/>
      <c r="Z17" s="1"/>
    </row>
    <row r="18" ht="18.75" customHeight="1">
      <c r="A18" s="1"/>
      <c r="B18" s="9"/>
      <c r="C18" s="28" t="s">
        <v>18</v>
      </c>
      <c r="D18" s="29">
        <v>720</v>
      </c>
      <c r="E18" s="28"/>
      <c r="F18" s="30">
        <v>2375</v>
      </c>
      <c r="G18" s="31"/>
      <c r="H18" s="29">
        <v>55</v>
      </c>
      <c r="I18" s="28"/>
      <c r="J18" s="30">
        <v>10091</v>
      </c>
      <c r="K18" s="30">
        <v>1309</v>
      </c>
      <c r="L18" s="30">
        <v>11098</v>
      </c>
      <c r="M18" s="30">
        <v>1818</v>
      </c>
      <c r="N18" s="30">
        <v>6482</v>
      </c>
      <c r="O18" s="30">
        <v>141</v>
      </c>
      <c r="P18" s="32">
        <v>733</v>
      </c>
      <c r="Q18" s="33"/>
      <c r="R18" s="33"/>
      <c r="S18" s="15">
        <f t="shared" si="0"/>
        <v>34822</v>
      </c>
      <c r="T18" s="1"/>
      <c r="U18" s="1"/>
      <c r="V18" s="1"/>
      <c r="W18" s="1"/>
      <c r="X18" s="1"/>
      <c r="Y18" s="1"/>
      <c r="Z18" s="1"/>
    </row>
    <row r="19" ht="18.75" customHeight="1">
      <c r="A19" s="1"/>
      <c r="B19" s="25">
        <v>2023</v>
      </c>
      <c r="C19" s="14" t="s">
        <v>17</v>
      </c>
      <c r="D19" s="13">
        <v>23</v>
      </c>
      <c r="E19" s="13">
        <v>234</v>
      </c>
      <c r="F19" s="12">
        <v>7570</v>
      </c>
      <c r="G19" s="12">
        <v>977</v>
      </c>
      <c r="H19" s="13">
        <v>52</v>
      </c>
      <c r="I19" s="13">
        <v>3</v>
      </c>
      <c r="J19" s="26">
        <v>20075</v>
      </c>
      <c r="K19" s="12">
        <v>1690</v>
      </c>
      <c r="L19" s="26">
        <v>24430</v>
      </c>
      <c r="M19" s="12">
        <v>2202</v>
      </c>
      <c r="N19" s="26">
        <v>7738</v>
      </c>
      <c r="O19" s="12">
        <v>121</v>
      </c>
      <c r="P19" s="27">
        <v>1824</v>
      </c>
      <c r="Q19" s="15"/>
      <c r="R19" s="15"/>
      <c r="S19" s="15">
        <f t="shared" si="0"/>
        <v>66939</v>
      </c>
      <c r="T19" s="1"/>
      <c r="U19" s="1"/>
      <c r="V19" s="1"/>
      <c r="W19" s="1"/>
      <c r="X19" s="1"/>
      <c r="Y19" s="1"/>
      <c r="Z19" s="1"/>
    </row>
    <row r="20" ht="18.75" customHeight="1">
      <c r="A20" s="1"/>
      <c r="B20" s="9"/>
      <c r="C20" s="28" t="s">
        <v>18</v>
      </c>
      <c r="D20" s="29">
        <v>541</v>
      </c>
      <c r="E20" s="28"/>
      <c r="F20" s="30">
        <v>3155</v>
      </c>
      <c r="G20" s="31"/>
      <c r="H20" s="29">
        <v>56</v>
      </c>
      <c r="I20" s="28"/>
      <c r="J20" s="30">
        <v>11278</v>
      </c>
      <c r="K20" s="30">
        <v>1365</v>
      </c>
      <c r="L20" s="30">
        <v>11557</v>
      </c>
      <c r="M20" s="30">
        <v>1942</v>
      </c>
      <c r="N20" s="30">
        <v>5774</v>
      </c>
      <c r="O20" s="30">
        <v>105</v>
      </c>
      <c r="P20" s="32">
        <v>1022</v>
      </c>
      <c r="Q20" s="33"/>
      <c r="R20" s="33"/>
      <c r="S20" s="15">
        <f t="shared" si="0"/>
        <v>36795</v>
      </c>
      <c r="T20" s="1"/>
      <c r="U20" s="1"/>
      <c r="V20" s="1"/>
      <c r="W20" s="1"/>
      <c r="X20" s="1"/>
      <c r="Y20" s="1"/>
      <c r="Z20" s="1"/>
    </row>
    <row r="21" ht="18.75" customHeight="1">
      <c r="A21" s="1"/>
      <c r="B21" s="25">
        <v>2024</v>
      </c>
      <c r="C21" s="14" t="s">
        <v>17</v>
      </c>
      <c r="D21" s="13">
        <v>3</v>
      </c>
      <c r="E21" s="13">
        <v>187</v>
      </c>
      <c r="F21" s="12">
        <v>6796</v>
      </c>
      <c r="G21" s="12">
        <v>1226</v>
      </c>
      <c r="H21" s="13">
        <v>41</v>
      </c>
      <c r="I21" s="13">
        <v>11</v>
      </c>
      <c r="J21" s="26">
        <v>19930</v>
      </c>
      <c r="K21" s="12">
        <v>1680</v>
      </c>
      <c r="L21" s="26">
        <v>22278</v>
      </c>
      <c r="M21" s="12">
        <v>2214</v>
      </c>
      <c r="N21" s="26">
        <v>7964</v>
      </c>
      <c r="O21" s="12">
        <v>127</v>
      </c>
      <c r="P21" s="27">
        <v>2059</v>
      </c>
      <c r="Q21" s="15"/>
      <c r="R21" s="15"/>
      <c r="S21" s="15">
        <f t="shared" si="0"/>
        <v>64516</v>
      </c>
      <c r="T21" s="1"/>
      <c r="U21" s="1"/>
      <c r="V21" s="1"/>
      <c r="W21" s="1"/>
      <c r="X21" s="1"/>
      <c r="Y21" s="1"/>
      <c r="Z21" s="1"/>
    </row>
    <row r="22" ht="18.75" customHeight="1">
      <c r="A22" s="1"/>
      <c r="B22" s="9"/>
      <c r="C22" s="28" t="s">
        <v>18</v>
      </c>
      <c r="D22" s="29">
        <v>466</v>
      </c>
      <c r="E22" s="28"/>
      <c r="F22" s="30">
        <v>3628</v>
      </c>
      <c r="G22" s="31"/>
      <c r="H22" s="29">
        <v>39</v>
      </c>
      <c r="I22" s="28"/>
      <c r="J22" s="30">
        <v>19772</v>
      </c>
      <c r="K22" s="30">
        <v>1343</v>
      </c>
      <c r="L22" s="30">
        <v>17486</v>
      </c>
      <c r="M22" s="30">
        <v>2113</v>
      </c>
      <c r="N22" s="30">
        <v>7067</v>
      </c>
      <c r="O22" s="30">
        <v>120</v>
      </c>
      <c r="P22" s="32">
        <v>1296</v>
      </c>
      <c r="Q22" s="33"/>
      <c r="R22" s="33"/>
      <c r="S22" s="15">
        <f t="shared" si="0"/>
        <v>53330</v>
      </c>
      <c r="T22" s="1"/>
      <c r="U22" s="1"/>
      <c r="V22" s="1"/>
      <c r="W22" s="1"/>
      <c r="X22" s="1"/>
      <c r="Y22" s="1"/>
      <c r="Z22" s="1"/>
    </row>
    <row r="23" ht="18.75" customHeight="1">
      <c r="A23" s="1"/>
      <c r="B23" s="25">
        <v>2025</v>
      </c>
      <c r="C23" s="14" t="s">
        <v>17</v>
      </c>
      <c r="D23" s="13">
        <v>1</v>
      </c>
      <c r="E23" s="13">
        <v>103</v>
      </c>
      <c r="F23" s="12">
        <v>5750</v>
      </c>
      <c r="G23" s="12">
        <v>1293</v>
      </c>
      <c r="H23" s="13">
        <v>59</v>
      </c>
      <c r="I23" s="13">
        <v>10</v>
      </c>
      <c r="J23" s="26">
        <v>18511</v>
      </c>
      <c r="K23" s="12">
        <v>1643</v>
      </c>
      <c r="L23" s="26">
        <v>22069</v>
      </c>
      <c r="M23" s="12">
        <v>2437</v>
      </c>
      <c r="N23" s="26">
        <v>8906</v>
      </c>
      <c r="O23" s="12">
        <v>120</v>
      </c>
      <c r="P23" s="27">
        <v>2185</v>
      </c>
      <c r="Q23" s="15"/>
      <c r="R23" s="15"/>
      <c r="S23" s="15">
        <f t="shared" si="0"/>
        <v>63087</v>
      </c>
      <c r="T23" s="1"/>
      <c r="U23" s="1"/>
      <c r="V23" s="1"/>
      <c r="W23" s="1"/>
      <c r="X23" s="1"/>
      <c r="Y23" s="1"/>
      <c r="Z23" s="1"/>
    </row>
    <row r="24" ht="18.75" customHeight="1">
      <c r="A24" s="1"/>
      <c r="B24" s="9"/>
      <c r="C24" s="28" t="s">
        <v>18</v>
      </c>
      <c r="D24" s="29">
        <v>303</v>
      </c>
      <c r="E24" s="28"/>
      <c r="F24" s="30">
        <v>2249</v>
      </c>
      <c r="G24" s="31"/>
      <c r="H24" s="29">
        <v>40</v>
      </c>
      <c r="I24" s="28"/>
      <c r="J24" s="30">
        <v>19468</v>
      </c>
      <c r="K24" s="30">
        <v>1385</v>
      </c>
      <c r="L24" s="30">
        <v>18223</v>
      </c>
      <c r="M24" s="30">
        <v>2122</v>
      </c>
      <c r="N24" s="30">
        <v>6976</v>
      </c>
      <c r="O24" s="30">
        <v>108</v>
      </c>
      <c r="P24" s="32">
        <v>1341</v>
      </c>
      <c r="Q24" s="33"/>
      <c r="R24" s="33"/>
      <c r="S24" s="15">
        <f t="shared" si="0"/>
        <v>52215</v>
      </c>
      <c r="T24" s="1"/>
      <c r="U24" s="1"/>
      <c r="V24" s="1"/>
      <c r="W24" s="1"/>
      <c r="X24" s="1"/>
      <c r="Y24" s="1"/>
      <c r="Z24" s="1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34" t="s">
        <v>19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35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35" t="s">
        <v>21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35" t="s">
        <v>22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35" t="s">
        <v>23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7" t="s">
        <v>24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36"/>
      <c r="C34" s="18" t="s">
        <v>6</v>
      </c>
      <c r="D34" s="19"/>
      <c r="E34" s="18" t="s">
        <v>7</v>
      </c>
      <c r="F34" s="19"/>
      <c r="G34" s="20" t="s">
        <v>16</v>
      </c>
      <c r="H34" s="19"/>
      <c r="I34" s="18" t="s">
        <v>2</v>
      </c>
      <c r="J34" s="19"/>
      <c r="K34" s="18" t="s">
        <v>3</v>
      </c>
      <c r="L34" s="19"/>
      <c r="M34" s="18" t="s">
        <v>4</v>
      </c>
      <c r="N34" s="19"/>
      <c r="O34" s="18" t="s">
        <v>9</v>
      </c>
      <c r="P34" s="19"/>
      <c r="Q34" s="6" t="s">
        <v>5</v>
      </c>
      <c r="R34" s="6" t="s">
        <v>11</v>
      </c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37"/>
      <c r="C35" s="21"/>
      <c r="D35" s="22"/>
      <c r="E35" s="21"/>
      <c r="F35" s="22"/>
      <c r="G35" s="21"/>
      <c r="H35" s="22"/>
      <c r="I35" s="21"/>
      <c r="J35" s="22"/>
      <c r="K35" s="21"/>
      <c r="L35" s="22"/>
      <c r="M35" s="21"/>
      <c r="N35" s="22"/>
      <c r="O35" s="21"/>
      <c r="P35" s="22"/>
      <c r="Q35" s="9"/>
      <c r="R35" s="9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24"/>
      <c r="C36" s="24" t="s">
        <v>12</v>
      </c>
      <c r="D36" s="10" t="s">
        <v>13</v>
      </c>
      <c r="E36" s="24" t="s">
        <v>12</v>
      </c>
      <c r="F36" s="10" t="s">
        <v>13</v>
      </c>
      <c r="G36" s="24" t="s">
        <v>12</v>
      </c>
      <c r="H36" s="10" t="s">
        <v>13</v>
      </c>
      <c r="I36" s="24" t="s">
        <v>12</v>
      </c>
      <c r="J36" s="10" t="s">
        <v>13</v>
      </c>
      <c r="K36" s="24" t="s">
        <v>12</v>
      </c>
      <c r="L36" s="10" t="s">
        <v>13</v>
      </c>
      <c r="M36" s="24" t="s">
        <v>12</v>
      </c>
      <c r="N36" s="10" t="s">
        <v>13</v>
      </c>
      <c r="O36" s="24" t="s">
        <v>12</v>
      </c>
      <c r="P36" s="10" t="s">
        <v>13</v>
      </c>
      <c r="Q36" s="24" t="s">
        <v>12</v>
      </c>
      <c r="R36" s="10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1">
        <v>2022</v>
      </c>
      <c r="C37" s="12">
        <v>5847</v>
      </c>
      <c r="D37" s="16"/>
      <c r="E37" s="12">
        <v>17625</v>
      </c>
      <c r="F37" s="16"/>
      <c r="G37" s="13">
        <v>118</v>
      </c>
      <c r="H37" s="14"/>
      <c r="I37" s="12">
        <v>20172</v>
      </c>
      <c r="J37" s="12">
        <v>1355</v>
      </c>
      <c r="K37" s="12">
        <v>58913</v>
      </c>
      <c r="L37" s="12">
        <v>765</v>
      </c>
      <c r="M37" s="12">
        <v>12571</v>
      </c>
      <c r="N37" s="12">
        <v>83</v>
      </c>
      <c r="O37" s="15"/>
      <c r="P37" s="15"/>
      <c r="Q37" s="27">
        <v>1001</v>
      </c>
      <c r="R37" s="15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1">
        <v>2023</v>
      </c>
      <c r="C38" s="12">
        <v>4947</v>
      </c>
      <c r="D38" s="16"/>
      <c r="E38" s="12">
        <v>23463</v>
      </c>
      <c r="F38" s="16"/>
      <c r="G38" s="13">
        <v>95</v>
      </c>
      <c r="H38" s="14"/>
      <c r="I38" s="12">
        <v>24985</v>
      </c>
      <c r="J38" s="12">
        <v>1466</v>
      </c>
      <c r="K38" s="12">
        <v>71615</v>
      </c>
      <c r="L38" s="12">
        <v>854</v>
      </c>
      <c r="M38" s="12">
        <v>13973</v>
      </c>
      <c r="N38" s="12">
        <v>86</v>
      </c>
      <c r="O38" s="15"/>
      <c r="P38" s="15"/>
      <c r="Q38" s="27">
        <v>1803</v>
      </c>
      <c r="R38" s="15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1">
        <v>2024</v>
      </c>
      <c r="C39" s="12">
        <v>4472</v>
      </c>
      <c r="D39" s="16"/>
      <c r="E39" s="12">
        <v>29412</v>
      </c>
      <c r="F39" s="16"/>
      <c r="G39" s="13">
        <v>100</v>
      </c>
      <c r="H39" s="14"/>
      <c r="I39" s="12">
        <v>28601</v>
      </c>
      <c r="J39" s="12">
        <v>1632</v>
      </c>
      <c r="K39" s="12">
        <v>86410</v>
      </c>
      <c r="L39" s="12">
        <v>935</v>
      </c>
      <c r="M39" s="12">
        <v>15846</v>
      </c>
      <c r="N39" s="12">
        <v>83</v>
      </c>
      <c r="O39" s="15"/>
      <c r="P39" s="15"/>
      <c r="Q39" s="27">
        <v>2566</v>
      </c>
      <c r="R39" s="15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1">
        <v>2025</v>
      </c>
      <c r="C40" s="12">
        <v>4472</v>
      </c>
      <c r="D40" s="16"/>
      <c r="E40" s="12">
        <v>33904</v>
      </c>
      <c r="F40" s="16"/>
      <c r="G40" s="13">
        <v>133</v>
      </c>
      <c r="H40" s="14"/>
      <c r="I40" s="12">
        <v>26601</v>
      </c>
      <c r="J40" s="12">
        <v>719</v>
      </c>
      <c r="K40" s="12">
        <v>90699</v>
      </c>
      <c r="L40" s="12">
        <v>304</v>
      </c>
      <c r="M40" s="12">
        <v>17033</v>
      </c>
      <c r="N40" s="12">
        <v>44</v>
      </c>
      <c r="O40" s="15"/>
      <c r="P40" s="15"/>
      <c r="Q40" s="27">
        <v>3410</v>
      </c>
      <c r="R40" s="15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35" t="s">
        <v>25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38" t="s">
        <v>26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7" t="s">
        <v>27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39" t="s">
        <v>28</v>
      </c>
      <c r="C46" s="40"/>
      <c r="D46" s="40"/>
      <c r="E46" s="40"/>
      <c r="F46" s="8"/>
      <c r="G46" s="1"/>
      <c r="H46" s="4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8.25" customHeight="1">
      <c r="A47" s="1"/>
      <c r="B47" s="23" t="s">
        <v>29</v>
      </c>
      <c r="C47" s="42" t="s">
        <v>6</v>
      </c>
      <c r="D47" s="42" t="s">
        <v>7</v>
      </c>
      <c r="E47" s="42" t="s">
        <v>8</v>
      </c>
      <c r="F47" s="42" t="s">
        <v>11</v>
      </c>
      <c r="G47" s="4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44" t="s">
        <v>30</v>
      </c>
      <c r="C48" s="45">
        <v>0</v>
      </c>
      <c r="D48" s="45">
        <v>2</v>
      </c>
      <c r="E48" s="46">
        <v>0</v>
      </c>
      <c r="F48" s="47">
        <f t="shared" ref="F48:F111" si="1">SUM(C48:E48)</f>
        <v>2</v>
      </c>
      <c r="G48" s="4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44" t="s">
        <v>31</v>
      </c>
      <c r="C49" s="46">
        <v>0</v>
      </c>
      <c r="D49" s="46">
        <v>2</v>
      </c>
      <c r="E49" s="46">
        <v>0</v>
      </c>
      <c r="F49" s="49">
        <f t="shared" si="1"/>
        <v>2</v>
      </c>
      <c r="G49" s="4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44" t="s">
        <v>32</v>
      </c>
      <c r="C50" s="46">
        <v>0</v>
      </c>
      <c r="D50" s="46">
        <v>4</v>
      </c>
      <c r="E50" s="46">
        <v>0</v>
      </c>
      <c r="F50" s="49">
        <f t="shared" si="1"/>
        <v>4</v>
      </c>
      <c r="G50" s="4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44" t="s">
        <v>33</v>
      </c>
      <c r="C51" s="46">
        <v>1</v>
      </c>
      <c r="D51" s="46">
        <v>0</v>
      </c>
      <c r="E51" s="46">
        <v>0</v>
      </c>
      <c r="F51" s="49">
        <f t="shared" si="1"/>
        <v>1</v>
      </c>
      <c r="G51" s="4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44" t="s">
        <v>34</v>
      </c>
      <c r="C52" s="46">
        <v>0</v>
      </c>
      <c r="D52" s="46">
        <v>16</v>
      </c>
      <c r="E52" s="46">
        <v>0</v>
      </c>
      <c r="F52" s="49">
        <f t="shared" si="1"/>
        <v>16</v>
      </c>
      <c r="G52" s="4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44" t="s">
        <v>35</v>
      </c>
      <c r="C53" s="46">
        <v>0</v>
      </c>
      <c r="D53" s="46">
        <v>95</v>
      </c>
      <c r="E53" s="46">
        <v>0</v>
      </c>
      <c r="F53" s="49">
        <f t="shared" si="1"/>
        <v>95</v>
      </c>
      <c r="G53" s="4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44" t="s">
        <v>36</v>
      </c>
      <c r="C54" s="46">
        <v>2</v>
      </c>
      <c r="D54" s="46">
        <v>255</v>
      </c>
      <c r="E54" s="46">
        <v>9</v>
      </c>
      <c r="F54" s="49">
        <f t="shared" si="1"/>
        <v>266</v>
      </c>
      <c r="G54" s="4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44" t="s">
        <v>37</v>
      </c>
      <c r="C55" s="46">
        <v>0</v>
      </c>
      <c r="D55" s="46">
        <v>3</v>
      </c>
      <c r="E55" s="46">
        <v>0</v>
      </c>
      <c r="F55" s="49">
        <f t="shared" si="1"/>
        <v>3</v>
      </c>
      <c r="G55" s="4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44" t="s">
        <v>38</v>
      </c>
      <c r="C56" s="46">
        <v>0</v>
      </c>
      <c r="D56" s="46">
        <v>47</v>
      </c>
      <c r="E56" s="46">
        <v>0</v>
      </c>
      <c r="F56" s="49">
        <f t="shared" si="1"/>
        <v>47</v>
      </c>
      <c r="G56" s="4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50" t="s">
        <v>39</v>
      </c>
      <c r="C57" s="51">
        <v>0</v>
      </c>
      <c r="D57" s="51">
        <v>565</v>
      </c>
      <c r="E57" s="51">
        <v>0</v>
      </c>
      <c r="F57" s="49">
        <f t="shared" si="1"/>
        <v>565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50" t="s">
        <v>40</v>
      </c>
      <c r="C58" s="51">
        <v>0</v>
      </c>
      <c r="D58" s="51">
        <v>15</v>
      </c>
      <c r="E58" s="51">
        <v>0</v>
      </c>
      <c r="F58" s="49">
        <f t="shared" si="1"/>
        <v>15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50" t="s">
        <v>41</v>
      </c>
      <c r="C59" s="51">
        <v>2</v>
      </c>
      <c r="D59" s="51">
        <v>132</v>
      </c>
      <c r="E59" s="51">
        <v>0</v>
      </c>
      <c r="F59" s="49">
        <f t="shared" si="1"/>
        <v>134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50" t="s">
        <v>42</v>
      </c>
      <c r="C60" s="51">
        <v>0</v>
      </c>
      <c r="D60" s="51">
        <v>7</v>
      </c>
      <c r="E60" s="51">
        <v>0</v>
      </c>
      <c r="F60" s="49">
        <f t="shared" si="1"/>
        <v>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50" t="s">
        <v>43</v>
      </c>
      <c r="C61" s="51">
        <v>0</v>
      </c>
      <c r="D61" s="51">
        <v>1</v>
      </c>
      <c r="E61" s="51">
        <v>0</v>
      </c>
      <c r="F61" s="49">
        <f t="shared" si="1"/>
        <v>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50" t="s">
        <v>44</v>
      </c>
      <c r="C62" s="51">
        <v>0</v>
      </c>
      <c r="D62" s="51">
        <v>7</v>
      </c>
      <c r="E62" s="51">
        <v>0</v>
      </c>
      <c r="F62" s="49">
        <f t="shared" si="1"/>
        <v>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50" t="s">
        <v>45</v>
      </c>
      <c r="C63" s="51">
        <v>0</v>
      </c>
      <c r="D63" s="51">
        <v>13</v>
      </c>
      <c r="E63" s="51">
        <v>0</v>
      </c>
      <c r="F63" s="49">
        <f t="shared" si="1"/>
        <v>13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50" t="s">
        <v>46</v>
      </c>
      <c r="C64" s="51">
        <v>0</v>
      </c>
      <c r="D64" s="51">
        <v>2</v>
      </c>
      <c r="E64" s="51">
        <v>0</v>
      </c>
      <c r="F64" s="49">
        <f t="shared" si="1"/>
        <v>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50" t="s">
        <v>47</v>
      </c>
      <c r="C65" s="51">
        <v>0</v>
      </c>
      <c r="D65" s="51">
        <v>3</v>
      </c>
      <c r="E65" s="51">
        <v>0</v>
      </c>
      <c r="F65" s="49">
        <f t="shared" si="1"/>
        <v>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50" t="s">
        <v>48</v>
      </c>
      <c r="C66" s="51">
        <v>0</v>
      </c>
      <c r="D66" s="51">
        <v>666</v>
      </c>
      <c r="E66" s="51">
        <v>1</v>
      </c>
      <c r="F66" s="49">
        <f t="shared" si="1"/>
        <v>667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50" t="s">
        <v>49</v>
      </c>
      <c r="C67" s="51">
        <v>1</v>
      </c>
      <c r="D67" s="51">
        <v>6</v>
      </c>
      <c r="E67" s="51">
        <v>0</v>
      </c>
      <c r="F67" s="49">
        <f t="shared" si="1"/>
        <v>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50" t="s">
        <v>50</v>
      </c>
      <c r="C68" s="51">
        <v>0</v>
      </c>
      <c r="D68" s="51">
        <v>2</v>
      </c>
      <c r="E68" s="51">
        <v>0</v>
      </c>
      <c r="F68" s="49">
        <f t="shared" si="1"/>
        <v>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50" t="s">
        <v>51</v>
      </c>
      <c r="C69" s="51">
        <v>0</v>
      </c>
      <c r="D69" s="51">
        <v>3</v>
      </c>
      <c r="E69" s="51">
        <v>0</v>
      </c>
      <c r="F69" s="49">
        <f t="shared" si="1"/>
        <v>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50" t="s">
        <v>52</v>
      </c>
      <c r="C70" s="51">
        <v>0</v>
      </c>
      <c r="D70" s="51">
        <v>1</v>
      </c>
      <c r="E70" s="51">
        <v>0</v>
      </c>
      <c r="F70" s="49">
        <f t="shared" si="1"/>
        <v>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50" t="s">
        <v>53</v>
      </c>
      <c r="C71" s="51">
        <v>0</v>
      </c>
      <c r="D71" s="51">
        <v>317</v>
      </c>
      <c r="E71" s="51">
        <v>1</v>
      </c>
      <c r="F71" s="49">
        <f t="shared" si="1"/>
        <v>318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50" t="s">
        <v>54</v>
      </c>
      <c r="C72" s="51">
        <v>0</v>
      </c>
      <c r="D72" s="51">
        <v>5</v>
      </c>
      <c r="E72" s="51">
        <v>0</v>
      </c>
      <c r="F72" s="49">
        <f t="shared" si="1"/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50" t="s">
        <v>55</v>
      </c>
      <c r="C73" s="51">
        <v>1</v>
      </c>
      <c r="D73" s="51">
        <v>4</v>
      </c>
      <c r="E73" s="51">
        <v>0</v>
      </c>
      <c r="F73" s="49">
        <f t="shared" si="1"/>
        <v>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50" t="s">
        <v>56</v>
      </c>
      <c r="C74" s="51">
        <v>0</v>
      </c>
      <c r="D74" s="51">
        <v>1</v>
      </c>
      <c r="E74" s="51">
        <v>0</v>
      </c>
      <c r="F74" s="49">
        <f t="shared" si="1"/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50" t="s">
        <v>57</v>
      </c>
      <c r="C75" s="51">
        <v>0</v>
      </c>
      <c r="D75" s="51">
        <v>1</v>
      </c>
      <c r="E75" s="51">
        <v>0</v>
      </c>
      <c r="F75" s="49">
        <f t="shared" si="1"/>
        <v>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50" t="s">
        <v>58</v>
      </c>
      <c r="C76" s="51">
        <v>0</v>
      </c>
      <c r="D76" s="51">
        <v>31</v>
      </c>
      <c r="E76" s="51">
        <v>0</v>
      </c>
      <c r="F76" s="49">
        <f t="shared" si="1"/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50" t="s">
        <v>59</v>
      </c>
      <c r="C77" s="51">
        <v>0</v>
      </c>
      <c r="D77" s="51">
        <v>1</v>
      </c>
      <c r="E77" s="51">
        <v>0</v>
      </c>
      <c r="F77" s="49">
        <f t="shared" si="1"/>
        <v>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50" t="s">
        <v>60</v>
      </c>
      <c r="C78" s="51">
        <v>0</v>
      </c>
      <c r="D78" s="51">
        <v>2</v>
      </c>
      <c r="E78" s="51">
        <v>0</v>
      </c>
      <c r="F78" s="49">
        <f t="shared" si="1"/>
        <v>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50" t="s">
        <v>61</v>
      </c>
      <c r="C79" s="51">
        <v>0</v>
      </c>
      <c r="D79" s="51">
        <v>6</v>
      </c>
      <c r="E79" s="51">
        <v>0</v>
      </c>
      <c r="F79" s="49">
        <f t="shared" si="1"/>
        <v>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50" t="s">
        <v>62</v>
      </c>
      <c r="C80" s="51">
        <v>0</v>
      </c>
      <c r="D80" s="51">
        <v>16</v>
      </c>
      <c r="E80" s="51">
        <v>0</v>
      </c>
      <c r="F80" s="49">
        <f t="shared" si="1"/>
        <v>16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50" t="s">
        <v>63</v>
      </c>
      <c r="C81" s="51">
        <v>0</v>
      </c>
      <c r="D81" s="51">
        <v>116</v>
      </c>
      <c r="E81" s="51">
        <v>0</v>
      </c>
      <c r="F81" s="49">
        <f t="shared" si="1"/>
        <v>116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50" t="s">
        <v>64</v>
      </c>
      <c r="C82" s="51">
        <v>0</v>
      </c>
      <c r="D82" s="51">
        <v>6</v>
      </c>
      <c r="E82" s="51">
        <v>1</v>
      </c>
      <c r="F82" s="49">
        <f t="shared" si="1"/>
        <v>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50" t="s">
        <v>65</v>
      </c>
      <c r="C83" s="51">
        <v>0</v>
      </c>
      <c r="D83" s="51">
        <v>3</v>
      </c>
      <c r="E83" s="51">
        <v>0</v>
      </c>
      <c r="F83" s="49">
        <f t="shared" si="1"/>
        <v>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50" t="s">
        <v>66</v>
      </c>
      <c r="C84" s="51">
        <v>0</v>
      </c>
      <c r="D84" s="51">
        <v>12</v>
      </c>
      <c r="E84" s="51">
        <v>0</v>
      </c>
      <c r="F84" s="49">
        <f t="shared" si="1"/>
        <v>12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50" t="s">
        <v>67</v>
      </c>
      <c r="C85" s="51">
        <v>0</v>
      </c>
      <c r="D85" s="51">
        <v>2</v>
      </c>
      <c r="E85" s="51">
        <v>0</v>
      </c>
      <c r="F85" s="49">
        <f t="shared" si="1"/>
        <v>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50" t="s">
        <v>68</v>
      </c>
      <c r="C86" s="51">
        <v>1</v>
      </c>
      <c r="D86" s="51">
        <v>10</v>
      </c>
      <c r="E86" s="51">
        <v>0</v>
      </c>
      <c r="F86" s="49">
        <f t="shared" si="1"/>
        <v>11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50" t="s">
        <v>69</v>
      </c>
      <c r="C87" s="51">
        <v>0</v>
      </c>
      <c r="D87" s="51">
        <v>11</v>
      </c>
      <c r="E87" s="51">
        <v>0</v>
      </c>
      <c r="F87" s="49">
        <f t="shared" si="1"/>
        <v>11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50" t="s">
        <v>70</v>
      </c>
      <c r="C88" s="51">
        <v>0</v>
      </c>
      <c r="D88" s="51">
        <v>15</v>
      </c>
      <c r="E88" s="51">
        <v>0</v>
      </c>
      <c r="F88" s="49">
        <f t="shared" si="1"/>
        <v>15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50" t="s">
        <v>71</v>
      </c>
      <c r="C89" s="51">
        <v>1</v>
      </c>
      <c r="D89" s="51">
        <v>31</v>
      </c>
      <c r="E89" s="51">
        <v>0</v>
      </c>
      <c r="F89" s="49">
        <f t="shared" si="1"/>
        <v>32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50" t="s">
        <v>72</v>
      </c>
      <c r="C90" s="51">
        <v>1</v>
      </c>
      <c r="D90" s="51">
        <v>162</v>
      </c>
      <c r="E90" s="51">
        <v>0</v>
      </c>
      <c r="F90" s="49">
        <f t="shared" si="1"/>
        <v>163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50" t="s">
        <v>73</v>
      </c>
      <c r="C91" s="51">
        <v>0</v>
      </c>
      <c r="D91" s="51">
        <v>27</v>
      </c>
      <c r="E91" s="51">
        <v>0</v>
      </c>
      <c r="F91" s="49">
        <f t="shared" si="1"/>
        <v>27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50" t="s">
        <v>74</v>
      </c>
      <c r="C92" s="51">
        <v>2</v>
      </c>
      <c r="D92" s="51">
        <v>180</v>
      </c>
      <c r="E92" s="51">
        <v>4</v>
      </c>
      <c r="F92" s="49">
        <f t="shared" si="1"/>
        <v>186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50" t="s">
        <v>75</v>
      </c>
      <c r="C93" s="51">
        <v>0</v>
      </c>
      <c r="D93" s="51">
        <v>1</v>
      </c>
      <c r="E93" s="51">
        <v>0</v>
      </c>
      <c r="F93" s="49">
        <f t="shared" si="1"/>
        <v>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50" t="s">
        <v>76</v>
      </c>
      <c r="C94" s="51">
        <v>0</v>
      </c>
      <c r="D94" s="51">
        <v>2</v>
      </c>
      <c r="E94" s="51">
        <v>0</v>
      </c>
      <c r="F94" s="49">
        <f t="shared" si="1"/>
        <v>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50" t="s">
        <v>77</v>
      </c>
      <c r="C95" s="51">
        <v>2</v>
      </c>
      <c r="D95" s="51">
        <v>550</v>
      </c>
      <c r="E95" s="51">
        <v>0</v>
      </c>
      <c r="F95" s="49">
        <f t="shared" si="1"/>
        <v>552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50" t="s">
        <v>78</v>
      </c>
      <c r="C96" s="51">
        <v>0</v>
      </c>
      <c r="D96" s="51">
        <v>7</v>
      </c>
      <c r="E96" s="51">
        <v>0</v>
      </c>
      <c r="F96" s="49">
        <f t="shared" si="1"/>
        <v>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50" t="s">
        <v>79</v>
      </c>
      <c r="C97" s="51">
        <v>1</v>
      </c>
      <c r="D97" s="51">
        <v>973</v>
      </c>
      <c r="E97" s="51">
        <v>5</v>
      </c>
      <c r="F97" s="49">
        <f t="shared" si="1"/>
        <v>979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50" t="s">
        <v>80</v>
      </c>
      <c r="C98" s="51">
        <v>0</v>
      </c>
      <c r="D98" s="51">
        <v>3</v>
      </c>
      <c r="E98" s="51">
        <v>0</v>
      </c>
      <c r="F98" s="49">
        <f t="shared" si="1"/>
        <v>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50" t="s">
        <v>81</v>
      </c>
      <c r="C99" s="51">
        <v>0</v>
      </c>
      <c r="D99" s="51">
        <v>1</v>
      </c>
      <c r="E99" s="51">
        <v>0</v>
      </c>
      <c r="F99" s="49">
        <f t="shared" si="1"/>
        <v>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50" t="s">
        <v>82</v>
      </c>
      <c r="C100" s="51">
        <v>0</v>
      </c>
      <c r="D100" s="51">
        <v>10</v>
      </c>
      <c r="E100" s="51">
        <v>0</v>
      </c>
      <c r="F100" s="49">
        <f t="shared" si="1"/>
        <v>10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50" t="s">
        <v>83</v>
      </c>
      <c r="C101" s="51">
        <v>0</v>
      </c>
      <c r="D101" s="51">
        <v>1</v>
      </c>
      <c r="E101" s="51">
        <v>0</v>
      </c>
      <c r="F101" s="49">
        <f t="shared" si="1"/>
        <v>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50" t="s">
        <v>84</v>
      </c>
      <c r="C102" s="51">
        <v>0</v>
      </c>
      <c r="D102" s="51">
        <v>1</v>
      </c>
      <c r="E102" s="51">
        <v>0</v>
      </c>
      <c r="F102" s="49">
        <f t="shared" si="1"/>
        <v>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50" t="s">
        <v>85</v>
      </c>
      <c r="C103" s="51">
        <v>0</v>
      </c>
      <c r="D103" s="51">
        <v>2</v>
      </c>
      <c r="E103" s="51">
        <v>0</v>
      </c>
      <c r="F103" s="49">
        <f t="shared" si="1"/>
        <v>2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50" t="s">
        <v>86</v>
      </c>
      <c r="C104" s="51">
        <v>0</v>
      </c>
      <c r="D104" s="51">
        <v>7</v>
      </c>
      <c r="E104" s="51">
        <v>3</v>
      </c>
      <c r="F104" s="49">
        <f t="shared" si="1"/>
        <v>10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50" t="s">
        <v>87</v>
      </c>
      <c r="C105" s="51">
        <v>0</v>
      </c>
      <c r="D105" s="51">
        <v>40</v>
      </c>
      <c r="E105" s="51">
        <v>0</v>
      </c>
      <c r="F105" s="49">
        <f t="shared" si="1"/>
        <v>40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50" t="s">
        <v>88</v>
      </c>
      <c r="C106" s="51">
        <v>0</v>
      </c>
      <c r="D106" s="51">
        <v>1</v>
      </c>
      <c r="E106" s="51">
        <v>0</v>
      </c>
      <c r="F106" s="49">
        <f t="shared" si="1"/>
        <v>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50" t="s">
        <v>89</v>
      </c>
      <c r="C107" s="51">
        <v>0</v>
      </c>
      <c r="D107" s="51">
        <v>1</v>
      </c>
      <c r="E107" s="51">
        <v>0</v>
      </c>
      <c r="F107" s="49">
        <f t="shared" si="1"/>
        <v>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50" t="s">
        <v>90</v>
      </c>
      <c r="C108" s="51">
        <v>0</v>
      </c>
      <c r="D108" s="51">
        <v>69</v>
      </c>
      <c r="E108" s="51">
        <v>0</v>
      </c>
      <c r="F108" s="49">
        <f t="shared" si="1"/>
        <v>69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50" t="s">
        <v>91</v>
      </c>
      <c r="C109" s="51">
        <v>2</v>
      </c>
      <c r="D109" s="51">
        <v>589</v>
      </c>
      <c r="E109" s="51">
        <v>1</v>
      </c>
      <c r="F109" s="49">
        <f t="shared" si="1"/>
        <v>592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50" t="s">
        <v>92</v>
      </c>
      <c r="C110" s="51">
        <v>1</v>
      </c>
      <c r="D110" s="51">
        <v>22</v>
      </c>
      <c r="E110" s="51">
        <v>1</v>
      </c>
      <c r="F110" s="49">
        <f t="shared" si="1"/>
        <v>24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50" t="s">
        <v>93</v>
      </c>
      <c r="C111" s="51">
        <v>0</v>
      </c>
      <c r="D111" s="51">
        <v>19</v>
      </c>
      <c r="E111" s="51">
        <v>0</v>
      </c>
      <c r="F111" s="49">
        <f t="shared" si="1"/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50" t="s">
        <v>94</v>
      </c>
      <c r="C112" s="51">
        <v>0</v>
      </c>
      <c r="D112" s="51">
        <v>9</v>
      </c>
      <c r="E112" s="51">
        <v>1</v>
      </c>
      <c r="F112" s="49">
        <f t="shared" ref="F112:F175" si="2">SUM(C112:E112)</f>
        <v>10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50" t="s">
        <v>95</v>
      </c>
      <c r="C113" s="51">
        <v>0</v>
      </c>
      <c r="D113" s="51">
        <v>34</v>
      </c>
      <c r="E113" s="51">
        <v>0</v>
      </c>
      <c r="F113" s="49">
        <f t="shared" si="2"/>
        <v>34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50" t="s">
        <v>96</v>
      </c>
      <c r="C114" s="51">
        <v>0</v>
      </c>
      <c r="D114" s="51">
        <v>1</v>
      </c>
      <c r="E114" s="51">
        <v>0</v>
      </c>
      <c r="F114" s="49">
        <f t="shared" si="2"/>
        <v>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50" t="s">
        <v>97</v>
      </c>
      <c r="C115" s="51">
        <v>0</v>
      </c>
      <c r="D115" s="51">
        <v>11</v>
      </c>
      <c r="E115" s="51">
        <v>0</v>
      </c>
      <c r="F115" s="49">
        <f t="shared" si="2"/>
        <v>11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50" t="s">
        <v>98</v>
      </c>
      <c r="C116" s="51">
        <v>0</v>
      </c>
      <c r="D116" s="51">
        <v>7</v>
      </c>
      <c r="E116" s="51">
        <v>0</v>
      </c>
      <c r="F116" s="49">
        <f t="shared" si="2"/>
        <v>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50" t="s">
        <v>99</v>
      </c>
      <c r="C117" s="51">
        <v>0</v>
      </c>
      <c r="D117" s="51">
        <v>8</v>
      </c>
      <c r="E117" s="51">
        <v>0</v>
      </c>
      <c r="F117" s="49">
        <f t="shared" si="2"/>
        <v>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50" t="s">
        <v>100</v>
      </c>
      <c r="C118" s="51">
        <v>0</v>
      </c>
      <c r="D118" s="51">
        <v>1</v>
      </c>
      <c r="E118" s="51">
        <v>0</v>
      </c>
      <c r="F118" s="49">
        <f t="shared" si="2"/>
        <v>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50" t="s">
        <v>101</v>
      </c>
      <c r="C119" s="51">
        <v>0</v>
      </c>
      <c r="D119" s="51">
        <v>7</v>
      </c>
      <c r="E119" s="51">
        <v>0</v>
      </c>
      <c r="F119" s="49">
        <f t="shared" si="2"/>
        <v>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50" t="s">
        <v>102</v>
      </c>
      <c r="C120" s="51">
        <v>5</v>
      </c>
      <c r="D120" s="51">
        <v>234</v>
      </c>
      <c r="E120" s="51">
        <v>14</v>
      </c>
      <c r="F120" s="49">
        <f t="shared" si="2"/>
        <v>253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50" t="s">
        <v>103</v>
      </c>
      <c r="C121" s="51">
        <v>0</v>
      </c>
      <c r="D121" s="51">
        <v>11</v>
      </c>
      <c r="E121" s="51">
        <v>0</v>
      </c>
      <c r="F121" s="49">
        <f t="shared" si="2"/>
        <v>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50" t="s">
        <v>104</v>
      </c>
      <c r="C122" s="51">
        <v>0</v>
      </c>
      <c r="D122" s="51">
        <v>1338</v>
      </c>
      <c r="E122" s="51">
        <v>6</v>
      </c>
      <c r="F122" s="49">
        <f t="shared" si="2"/>
        <v>1344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39" t="s">
        <v>105</v>
      </c>
      <c r="C126" s="40"/>
      <c r="D126" s="40"/>
      <c r="E126" s="40"/>
      <c r="F126" s="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23" t="s">
        <v>29</v>
      </c>
      <c r="C127" s="42" t="s">
        <v>6</v>
      </c>
      <c r="D127" s="42" t="s">
        <v>7</v>
      </c>
      <c r="E127" s="42" t="s">
        <v>8</v>
      </c>
      <c r="F127" s="42" t="s">
        <v>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44" t="s">
        <v>30</v>
      </c>
      <c r="C128" s="45">
        <v>0</v>
      </c>
      <c r="D128" s="45">
        <v>6</v>
      </c>
      <c r="E128" s="46">
        <v>0</v>
      </c>
      <c r="F128" s="47">
        <f t="shared" si="2"/>
        <v>6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44" t="s">
        <v>31</v>
      </c>
      <c r="C129" s="46">
        <v>0</v>
      </c>
      <c r="D129" s="46">
        <v>5</v>
      </c>
      <c r="E129" s="46">
        <v>0</v>
      </c>
      <c r="F129" s="49">
        <f t="shared" si="2"/>
        <v>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44" t="s">
        <v>32</v>
      </c>
      <c r="C130" s="46">
        <v>1</v>
      </c>
      <c r="D130" s="46">
        <v>7</v>
      </c>
      <c r="E130" s="46">
        <v>0</v>
      </c>
      <c r="F130" s="49">
        <f t="shared" si="2"/>
        <v>8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44" t="s">
        <v>33</v>
      </c>
      <c r="C131" s="46">
        <v>0</v>
      </c>
      <c r="D131" s="46">
        <v>2</v>
      </c>
      <c r="E131" s="46">
        <v>0</v>
      </c>
      <c r="F131" s="49">
        <f t="shared" si="2"/>
        <v>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44" t="s">
        <v>34</v>
      </c>
      <c r="C132" s="46">
        <v>0</v>
      </c>
      <c r="D132" s="46">
        <v>18</v>
      </c>
      <c r="E132" s="46">
        <v>0</v>
      </c>
      <c r="F132" s="49">
        <f t="shared" si="2"/>
        <v>18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44" t="s">
        <v>35</v>
      </c>
      <c r="C133" s="46">
        <v>0</v>
      </c>
      <c r="D133" s="46">
        <v>92</v>
      </c>
      <c r="E133" s="46">
        <v>0</v>
      </c>
      <c r="F133" s="49">
        <f t="shared" si="2"/>
        <v>92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44" t="s">
        <v>36</v>
      </c>
      <c r="C134" s="46">
        <v>5</v>
      </c>
      <c r="D134" s="46">
        <v>186</v>
      </c>
      <c r="E134" s="46">
        <v>7</v>
      </c>
      <c r="F134" s="49">
        <f t="shared" si="2"/>
        <v>198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44" t="s">
        <v>37</v>
      </c>
      <c r="C135" s="46">
        <v>0</v>
      </c>
      <c r="D135" s="46">
        <v>2</v>
      </c>
      <c r="E135" s="46">
        <v>0</v>
      </c>
      <c r="F135" s="49">
        <f t="shared" si="2"/>
        <v>2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44" t="s">
        <v>38</v>
      </c>
      <c r="C136" s="46">
        <v>0</v>
      </c>
      <c r="D136" s="46">
        <v>63</v>
      </c>
      <c r="E136" s="46">
        <v>0</v>
      </c>
      <c r="F136" s="49">
        <f t="shared" si="2"/>
        <v>63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44" t="s">
        <v>39</v>
      </c>
      <c r="C137" s="46">
        <v>0</v>
      </c>
      <c r="D137" s="46">
        <v>827</v>
      </c>
      <c r="E137" s="46">
        <v>2</v>
      </c>
      <c r="F137" s="49">
        <f t="shared" si="2"/>
        <v>829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44" t="s">
        <v>106</v>
      </c>
      <c r="C138" s="46">
        <v>1</v>
      </c>
      <c r="D138" s="46">
        <v>0</v>
      </c>
      <c r="E138" s="46">
        <v>0</v>
      </c>
      <c r="F138" s="49">
        <f t="shared" si="2"/>
        <v>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44" t="s">
        <v>40</v>
      </c>
      <c r="C139" s="46">
        <v>0</v>
      </c>
      <c r="D139" s="46">
        <v>12</v>
      </c>
      <c r="E139" s="46">
        <v>0</v>
      </c>
      <c r="F139" s="49">
        <f t="shared" si="2"/>
        <v>12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44" t="s">
        <v>41</v>
      </c>
      <c r="C140" s="46">
        <v>4</v>
      </c>
      <c r="D140" s="46">
        <v>112</v>
      </c>
      <c r="E140" s="46">
        <v>1</v>
      </c>
      <c r="F140" s="49">
        <f t="shared" si="2"/>
        <v>117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50" t="s">
        <v>42</v>
      </c>
      <c r="C141" s="51">
        <v>0</v>
      </c>
      <c r="D141" s="51">
        <v>4</v>
      </c>
      <c r="E141" s="51">
        <v>0</v>
      </c>
      <c r="F141" s="49">
        <f t="shared" si="2"/>
        <v>4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50" t="s">
        <v>43</v>
      </c>
      <c r="C142" s="51">
        <v>0</v>
      </c>
      <c r="D142" s="51">
        <v>4</v>
      </c>
      <c r="E142" s="51">
        <v>0</v>
      </c>
      <c r="F142" s="49">
        <f t="shared" si="2"/>
        <v>4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50" t="s">
        <v>44</v>
      </c>
      <c r="C143" s="51">
        <v>0</v>
      </c>
      <c r="D143" s="51">
        <v>17</v>
      </c>
      <c r="E143" s="51">
        <v>0</v>
      </c>
      <c r="F143" s="49">
        <f t="shared" si="2"/>
        <v>17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50" t="s">
        <v>45</v>
      </c>
      <c r="C144" s="51">
        <v>0</v>
      </c>
      <c r="D144" s="51">
        <v>19</v>
      </c>
      <c r="E144" s="51">
        <v>0</v>
      </c>
      <c r="F144" s="49">
        <f t="shared" si="2"/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50" t="s">
        <v>46</v>
      </c>
      <c r="C145" s="51">
        <v>0</v>
      </c>
      <c r="D145" s="51">
        <v>1</v>
      </c>
      <c r="E145" s="51">
        <v>0</v>
      </c>
      <c r="F145" s="49">
        <f t="shared" si="2"/>
        <v>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50" t="s">
        <v>47</v>
      </c>
      <c r="C146" s="51">
        <v>0</v>
      </c>
      <c r="D146" s="51">
        <v>9</v>
      </c>
      <c r="E146" s="51">
        <v>0</v>
      </c>
      <c r="F146" s="49">
        <f t="shared" si="2"/>
        <v>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50" t="s">
        <v>48</v>
      </c>
      <c r="C147" s="51">
        <v>1</v>
      </c>
      <c r="D147" s="51">
        <v>811</v>
      </c>
      <c r="E147" s="51">
        <v>2</v>
      </c>
      <c r="F147" s="49">
        <f t="shared" si="2"/>
        <v>814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50" t="s">
        <v>49</v>
      </c>
      <c r="C148" s="51">
        <v>0</v>
      </c>
      <c r="D148" s="51">
        <v>6</v>
      </c>
      <c r="E148" s="51">
        <v>0</v>
      </c>
      <c r="F148" s="49">
        <f t="shared" si="2"/>
        <v>6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50" t="s">
        <v>50</v>
      </c>
      <c r="C149" s="51">
        <v>0</v>
      </c>
      <c r="D149" s="51">
        <v>2</v>
      </c>
      <c r="E149" s="51">
        <v>0</v>
      </c>
      <c r="F149" s="49">
        <f t="shared" si="2"/>
        <v>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50" t="s">
        <v>107</v>
      </c>
      <c r="C150" s="51">
        <v>0</v>
      </c>
      <c r="D150" s="51">
        <v>2</v>
      </c>
      <c r="E150" s="51">
        <v>0</v>
      </c>
      <c r="F150" s="49">
        <f t="shared" si="2"/>
        <v>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50" t="s">
        <v>51</v>
      </c>
      <c r="C151" s="51">
        <v>0</v>
      </c>
      <c r="D151" s="51">
        <v>1</v>
      </c>
      <c r="E151" s="51">
        <v>0</v>
      </c>
      <c r="F151" s="49">
        <f t="shared" si="2"/>
        <v>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50" t="s">
        <v>53</v>
      </c>
      <c r="C152" s="51">
        <v>0</v>
      </c>
      <c r="D152" s="51">
        <v>391</v>
      </c>
      <c r="E152" s="51">
        <v>9</v>
      </c>
      <c r="F152" s="49">
        <f t="shared" si="2"/>
        <v>400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50" t="s">
        <v>54</v>
      </c>
      <c r="C153" s="51">
        <v>0</v>
      </c>
      <c r="D153" s="51">
        <v>8</v>
      </c>
      <c r="E153" s="51">
        <v>0</v>
      </c>
      <c r="F153" s="49">
        <f t="shared" si="2"/>
        <v>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50" t="s">
        <v>55</v>
      </c>
      <c r="C154" s="51">
        <v>0</v>
      </c>
      <c r="D154" s="51">
        <v>2</v>
      </c>
      <c r="E154" s="51">
        <v>0</v>
      </c>
      <c r="F154" s="49">
        <f t="shared" si="2"/>
        <v>2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50" t="s">
        <v>56</v>
      </c>
      <c r="C155" s="51">
        <v>0</v>
      </c>
      <c r="D155" s="51">
        <v>7</v>
      </c>
      <c r="E155" s="51">
        <v>0</v>
      </c>
      <c r="F155" s="49">
        <f t="shared" si="2"/>
        <v>7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50" t="s">
        <v>57</v>
      </c>
      <c r="C156" s="51">
        <v>0</v>
      </c>
      <c r="D156" s="51">
        <v>2</v>
      </c>
      <c r="E156" s="51">
        <v>0</v>
      </c>
      <c r="F156" s="49">
        <f t="shared" si="2"/>
        <v>2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50" t="s">
        <v>58</v>
      </c>
      <c r="C157" s="51">
        <v>0</v>
      </c>
      <c r="D157" s="51">
        <v>24</v>
      </c>
      <c r="E157" s="51">
        <v>0</v>
      </c>
      <c r="F157" s="49">
        <f t="shared" si="2"/>
        <v>24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50" t="s">
        <v>60</v>
      </c>
      <c r="C158" s="51">
        <v>0</v>
      </c>
      <c r="D158" s="51">
        <v>2</v>
      </c>
      <c r="E158" s="51">
        <v>0</v>
      </c>
      <c r="F158" s="49">
        <f t="shared" si="2"/>
        <v>2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50" t="s">
        <v>61</v>
      </c>
      <c r="C159" s="51">
        <v>0</v>
      </c>
      <c r="D159" s="51">
        <v>4</v>
      </c>
      <c r="E159" s="51">
        <v>0</v>
      </c>
      <c r="F159" s="49">
        <f t="shared" si="2"/>
        <v>4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50" t="s">
        <v>62</v>
      </c>
      <c r="C160" s="51">
        <v>0</v>
      </c>
      <c r="D160" s="51">
        <v>21</v>
      </c>
      <c r="E160" s="51">
        <v>0</v>
      </c>
      <c r="F160" s="49">
        <f t="shared" si="2"/>
        <v>21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50" t="s">
        <v>63</v>
      </c>
      <c r="C161" s="51">
        <v>2</v>
      </c>
      <c r="D161" s="51">
        <v>149</v>
      </c>
      <c r="E161" s="51">
        <v>0</v>
      </c>
      <c r="F161" s="49">
        <f t="shared" si="2"/>
        <v>151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50" t="s">
        <v>64</v>
      </c>
      <c r="C162" s="51">
        <v>0</v>
      </c>
      <c r="D162" s="51">
        <v>8</v>
      </c>
      <c r="E162" s="51">
        <v>0</v>
      </c>
      <c r="F162" s="49">
        <f t="shared" si="2"/>
        <v>8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50" t="s">
        <v>65</v>
      </c>
      <c r="C163" s="51">
        <v>0</v>
      </c>
      <c r="D163" s="51">
        <v>3</v>
      </c>
      <c r="E163" s="51">
        <v>0</v>
      </c>
      <c r="F163" s="49">
        <f t="shared" si="2"/>
        <v>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50" t="s">
        <v>66</v>
      </c>
      <c r="C164" s="51">
        <v>0</v>
      </c>
      <c r="D164" s="51">
        <v>6</v>
      </c>
      <c r="E164" s="51">
        <v>0</v>
      </c>
      <c r="F164" s="49">
        <f t="shared" si="2"/>
        <v>6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50" t="s">
        <v>67</v>
      </c>
      <c r="C165" s="51">
        <v>0</v>
      </c>
      <c r="D165" s="51">
        <v>3</v>
      </c>
      <c r="E165" s="51">
        <v>0</v>
      </c>
      <c r="F165" s="49">
        <f t="shared" si="2"/>
        <v>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50" t="s">
        <v>68</v>
      </c>
      <c r="C166" s="51">
        <v>0</v>
      </c>
      <c r="D166" s="51">
        <v>10</v>
      </c>
      <c r="E166" s="51">
        <v>0</v>
      </c>
      <c r="F166" s="49">
        <f t="shared" si="2"/>
        <v>10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50" t="s">
        <v>69</v>
      </c>
      <c r="C167" s="51">
        <v>0</v>
      </c>
      <c r="D167" s="51">
        <v>19</v>
      </c>
      <c r="E167" s="51">
        <v>0</v>
      </c>
      <c r="F167" s="49">
        <f t="shared" si="2"/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50" t="s">
        <v>70</v>
      </c>
      <c r="C168" s="51">
        <v>0</v>
      </c>
      <c r="D168" s="51">
        <v>28</v>
      </c>
      <c r="E168" s="51">
        <v>0</v>
      </c>
      <c r="F168" s="49">
        <f t="shared" si="2"/>
        <v>28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50" t="s">
        <v>108</v>
      </c>
      <c r="C169" s="51">
        <v>0</v>
      </c>
      <c r="D169" s="51">
        <v>4</v>
      </c>
      <c r="E169" s="51">
        <v>0</v>
      </c>
      <c r="F169" s="49">
        <f t="shared" si="2"/>
        <v>4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50" t="s">
        <v>71</v>
      </c>
      <c r="C170" s="51">
        <v>1</v>
      </c>
      <c r="D170" s="51">
        <v>26</v>
      </c>
      <c r="E170" s="51">
        <v>1</v>
      </c>
      <c r="F170" s="49">
        <f t="shared" si="2"/>
        <v>28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50" t="s">
        <v>72</v>
      </c>
      <c r="C171" s="51">
        <v>1</v>
      </c>
      <c r="D171" s="51">
        <v>238</v>
      </c>
      <c r="E171" s="51">
        <v>0</v>
      </c>
      <c r="F171" s="49">
        <f t="shared" si="2"/>
        <v>239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50" t="s">
        <v>109</v>
      </c>
      <c r="C172" s="51">
        <v>0</v>
      </c>
      <c r="D172" s="51">
        <v>1</v>
      </c>
      <c r="E172" s="51">
        <v>0</v>
      </c>
      <c r="F172" s="49">
        <f t="shared" si="2"/>
        <v>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50" t="s">
        <v>73</v>
      </c>
      <c r="C173" s="51">
        <v>0</v>
      </c>
      <c r="D173" s="51">
        <v>45</v>
      </c>
      <c r="E173" s="51">
        <v>0</v>
      </c>
      <c r="F173" s="49">
        <f t="shared" si="2"/>
        <v>45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50" t="s">
        <v>74</v>
      </c>
      <c r="C174" s="51">
        <v>2</v>
      </c>
      <c r="D174" s="51">
        <v>159</v>
      </c>
      <c r="E174" s="51">
        <v>4</v>
      </c>
      <c r="F174" s="49">
        <f t="shared" si="2"/>
        <v>165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50" t="s">
        <v>75</v>
      </c>
      <c r="C175" s="51">
        <v>0</v>
      </c>
      <c r="D175" s="51">
        <v>1</v>
      </c>
      <c r="E175" s="51">
        <v>0</v>
      </c>
      <c r="F175" s="49">
        <f t="shared" si="2"/>
        <v>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50" t="s">
        <v>76</v>
      </c>
      <c r="C176" s="51">
        <v>0</v>
      </c>
      <c r="D176" s="51">
        <v>2</v>
      </c>
      <c r="E176" s="51">
        <v>0</v>
      </c>
      <c r="F176" s="49">
        <f t="shared" ref="F176:F239" si="3">SUM(C176:E176)</f>
        <v>2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50" t="s">
        <v>77</v>
      </c>
      <c r="C177" s="51">
        <v>0</v>
      </c>
      <c r="D177" s="51">
        <v>731</v>
      </c>
      <c r="E177" s="51">
        <v>0</v>
      </c>
      <c r="F177" s="49">
        <f t="shared" si="3"/>
        <v>731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50" t="s">
        <v>78</v>
      </c>
      <c r="C178" s="51">
        <v>0</v>
      </c>
      <c r="D178" s="51">
        <v>23</v>
      </c>
      <c r="E178" s="51">
        <v>0</v>
      </c>
      <c r="F178" s="49">
        <f t="shared" si="3"/>
        <v>23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50" t="s">
        <v>110</v>
      </c>
      <c r="C179" s="51">
        <v>0</v>
      </c>
      <c r="D179" s="51">
        <v>2</v>
      </c>
      <c r="E179" s="51">
        <v>0</v>
      </c>
      <c r="F179" s="49">
        <f t="shared" si="3"/>
        <v>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50" t="s">
        <v>79</v>
      </c>
      <c r="C180" s="51">
        <v>0</v>
      </c>
      <c r="D180" s="51">
        <v>1314</v>
      </c>
      <c r="E180" s="51">
        <v>3</v>
      </c>
      <c r="F180" s="49">
        <f t="shared" si="3"/>
        <v>1317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50" t="s">
        <v>80</v>
      </c>
      <c r="C181" s="51">
        <v>0</v>
      </c>
      <c r="D181" s="51">
        <v>1</v>
      </c>
      <c r="E181" s="51">
        <v>0</v>
      </c>
      <c r="F181" s="49">
        <f t="shared" si="3"/>
        <v>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50" t="s">
        <v>81</v>
      </c>
      <c r="C182" s="51">
        <v>0</v>
      </c>
      <c r="D182" s="51">
        <v>1</v>
      </c>
      <c r="E182" s="51">
        <v>0</v>
      </c>
      <c r="F182" s="49">
        <f t="shared" si="3"/>
        <v>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50" t="s">
        <v>111</v>
      </c>
      <c r="C183" s="51">
        <v>0</v>
      </c>
      <c r="D183" s="51">
        <v>1</v>
      </c>
      <c r="E183" s="51">
        <v>0</v>
      </c>
      <c r="F183" s="49">
        <f t="shared" si="3"/>
        <v>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50" t="s">
        <v>82</v>
      </c>
      <c r="C184" s="51">
        <v>3</v>
      </c>
      <c r="D184" s="51">
        <v>15</v>
      </c>
      <c r="E184" s="51">
        <v>0</v>
      </c>
      <c r="F184" s="49">
        <f t="shared" si="3"/>
        <v>18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50" t="s">
        <v>84</v>
      </c>
      <c r="C185" s="51">
        <v>0</v>
      </c>
      <c r="D185" s="51">
        <v>2</v>
      </c>
      <c r="E185" s="51">
        <v>0</v>
      </c>
      <c r="F185" s="49">
        <f t="shared" si="3"/>
        <v>2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50" t="s">
        <v>85</v>
      </c>
      <c r="C186" s="51">
        <v>0</v>
      </c>
      <c r="D186" s="51">
        <v>2</v>
      </c>
      <c r="E186" s="51">
        <v>0</v>
      </c>
      <c r="F186" s="49">
        <f t="shared" si="3"/>
        <v>2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50" t="s">
        <v>86</v>
      </c>
      <c r="C187" s="51">
        <v>0</v>
      </c>
      <c r="D187" s="51">
        <v>32</v>
      </c>
      <c r="E187" s="51">
        <v>8</v>
      </c>
      <c r="F187" s="49">
        <f t="shared" si="3"/>
        <v>40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50" t="s">
        <v>112</v>
      </c>
      <c r="C188" s="51">
        <v>0</v>
      </c>
      <c r="D188" s="51">
        <v>0</v>
      </c>
      <c r="E188" s="51">
        <v>1</v>
      </c>
      <c r="F188" s="49">
        <f t="shared" si="3"/>
        <v>1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50" t="s">
        <v>87</v>
      </c>
      <c r="C189" s="51">
        <v>0</v>
      </c>
      <c r="D189" s="51">
        <v>70</v>
      </c>
      <c r="E189" s="51">
        <v>0</v>
      </c>
      <c r="F189" s="49">
        <f t="shared" si="3"/>
        <v>70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50" t="s">
        <v>88</v>
      </c>
      <c r="C190" s="51">
        <v>0</v>
      </c>
      <c r="D190" s="51">
        <v>7</v>
      </c>
      <c r="E190" s="51">
        <v>0</v>
      </c>
      <c r="F190" s="49">
        <f t="shared" si="3"/>
        <v>7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50" t="s">
        <v>90</v>
      </c>
      <c r="C191" s="51">
        <v>0</v>
      </c>
      <c r="D191" s="51">
        <v>129</v>
      </c>
      <c r="E191" s="51">
        <v>0</v>
      </c>
      <c r="F191" s="49">
        <f t="shared" si="3"/>
        <v>129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50" t="s">
        <v>113</v>
      </c>
      <c r="C192" s="51">
        <v>0</v>
      </c>
      <c r="D192" s="51">
        <v>1</v>
      </c>
      <c r="E192" s="51">
        <v>0</v>
      </c>
      <c r="F192" s="49">
        <f t="shared" si="3"/>
        <v>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50" t="s">
        <v>114</v>
      </c>
      <c r="C193" s="51">
        <v>0</v>
      </c>
      <c r="D193" s="51">
        <v>1</v>
      </c>
      <c r="E193" s="51">
        <v>0</v>
      </c>
      <c r="F193" s="49">
        <f t="shared" si="3"/>
        <v>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50" t="s">
        <v>91</v>
      </c>
      <c r="C194" s="51">
        <v>3</v>
      </c>
      <c r="D194" s="51">
        <v>653</v>
      </c>
      <c r="E194" s="51">
        <v>3</v>
      </c>
      <c r="F194" s="49">
        <f t="shared" si="3"/>
        <v>659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50" t="s">
        <v>92</v>
      </c>
      <c r="C195" s="51">
        <v>0</v>
      </c>
      <c r="D195" s="51">
        <v>19</v>
      </c>
      <c r="E195" s="51">
        <v>0</v>
      </c>
      <c r="F195" s="49">
        <f t="shared" si="3"/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50" t="s">
        <v>115</v>
      </c>
      <c r="C196" s="51">
        <v>0</v>
      </c>
      <c r="D196" s="51">
        <v>1</v>
      </c>
      <c r="E196" s="51">
        <v>0</v>
      </c>
      <c r="F196" s="49">
        <f t="shared" si="3"/>
        <v>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50" t="s">
        <v>93</v>
      </c>
      <c r="C197" s="51">
        <v>0</v>
      </c>
      <c r="D197" s="51">
        <v>21</v>
      </c>
      <c r="E197" s="51">
        <v>0</v>
      </c>
      <c r="F197" s="49">
        <f t="shared" si="3"/>
        <v>21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50" t="s">
        <v>116</v>
      </c>
      <c r="C198" s="51">
        <v>0</v>
      </c>
      <c r="D198" s="51">
        <v>4</v>
      </c>
      <c r="E198" s="51">
        <v>0</v>
      </c>
      <c r="F198" s="49">
        <f t="shared" si="3"/>
        <v>4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50" t="s">
        <v>117</v>
      </c>
      <c r="C199" s="51">
        <v>0</v>
      </c>
      <c r="D199" s="51">
        <v>1</v>
      </c>
      <c r="E199" s="51">
        <v>0</v>
      </c>
      <c r="F199" s="49">
        <f t="shared" si="3"/>
        <v>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50" t="s">
        <v>94</v>
      </c>
      <c r="C200" s="51">
        <v>0</v>
      </c>
      <c r="D200" s="51">
        <v>9</v>
      </c>
      <c r="E200" s="51">
        <v>0</v>
      </c>
      <c r="F200" s="49">
        <f t="shared" si="3"/>
        <v>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50" t="s">
        <v>95</v>
      </c>
      <c r="C201" s="51">
        <v>0</v>
      </c>
      <c r="D201" s="51">
        <v>60</v>
      </c>
      <c r="E201" s="51">
        <v>0</v>
      </c>
      <c r="F201" s="49">
        <f t="shared" si="3"/>
        <v>60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50" t="s">
        <v>97</v>
      </c>
      <c r="C202" s="51">
        <v>0</v>
      </c>
      <c r="D202" s="51">
        <v>8</v>
      </c>
      <c r="E202" s="51">
        <v>0</v>
      </c>
      <c r="F202" s="49">
        <f t="shared" si="3"/>
        <v>8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50" t="s">
        <v>118</v>
      </c>
      <c r="C203" s="51">
        <v>0</v>
      </c>
      <c r="D203" s="51">
        <v>1</v>
      </c>
      <c r="E203" s="51">
        <v>0</v>
      </c>
      <c r="F203" s="49">
        <f t="shared" si="3"/>
        <v>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50" t="s">
        <v>98</v>
      </c>
      <c r="C204" s="51">
        <v>0</v>
      </c>
      <c r="D204" s="51">
        <v>11</v>
      </c>
      <c r="E204" s="51">
        <v>0</v>
      </c>
      <c r="F204" s="49">
        <f t="shared" si="3"/>
        <v>11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50" t="s">
        <v>99</v>
      </c>
      <c r="C205" s="51">
        <v>0</v>
      </c>
      <c r="D205" s="51">
        <v>16</v>
      </c>
      <c r="E205" s="51">
        <v>0</v>
      </c>
      <c r="F205" s="49">
        <f t="shared" si="3"/>
        <v>16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50" t="s">
        <v>100</v>
      </c>
      <c r="C206" s="51">
        <v>0</v>
      </c>
      <c r="D206" s="51">
        <v>2</v>
      </c>
      <c r="E206" s="51">
        <v>0</v>
      </c>
      <c r="F206" s="49">
        <f t="shared" si="3"/>
        <v>2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50" t="s">
        <v>101</v>
      </c>
      <c r="C207" s="51">
        <v>0</v>
      </c>
      <c r="D207" s="51">
        <v>7</v>
      </c>
      <c r="E207" s="51">
        <v>0</v>
      </c>
      <c r="F207" s="49">
        <f t="shared" si="3"/>
        <v>7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50" t="s">
        <v>102</v>
      </c>
      <c r="C208" s="51">
        <v>3</v>
      </c>
      <c r="D208" s="51">
        <v>230</v>
      </c>
      <c r="E208" s="51">
        <v>14</v>
      </c>
      <c r="F208" s="49">
        <f t="shared" si="3"/>
        <v>247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50" t="s">
        <v>103</v>
      </c>
      <c r="C209" s="51">
        <v>1</v>
      </c>
      <c r="D209" s="51">
        <v>15</v>
      </c>
      <c r="E209" s="51">
        <v>0</v>
      </c>
      <c r="F209" s="49">
        <f t="shared" si="3"/>
        <v>16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50" t="s">
        <v>104</v>
      </c>
      <c r="C210" s="51">
        <v>0</v>
      </c>
      <c r="D210" s="51">
        <v>1878</v>
      </c>
      <c r="E210" s="51">
        <v>4</v>
      </c>
      <c r="F210" s="49">
        <f t="shared" si="3"/>
        <v>1882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39" t="s">
        <v>119</v>
      </c>
      <c r="C214" s="40"/>
      <c r="D214" s="40"/>
      <c r="E214" s="40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23" t="s">
        <v>29</v>
      </c>
      <c r="C215" s="42" t="s">
        <v>6</v>
      </c>
      <c r="D215" s="42" t="s">
        <v>7</v>
      </c>
      <c r="E215" s="42" t="s">
        <v>8</v>
      </c>
      <c r="F215" s="42" t="s">
        <v>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52" t="s">
        <v>30</v>
      </c>
      <c r="C216" s="45">
        <v>0</v>
      </c>
      <c r="D216" s="45">
        <v>4</v>
      </c>
      <c r="E216" s="46">
        <v>0</v>
      </c>
      <c r="F216" s="47">
        <f t="shared" si="3"/>
        <v>4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52" t="s">
        <v>31</v>
      </c>
      <c r="C217" s="46">
        <v>0</v>
      </c>
      <c r="D217" s="46">
        <v>1</v>
      </c>
      <c r="E217" s="46">
        <v>0</v>
      </c>
      <c r="F217" s="49">
        <f t="shared" si="3"/>
        <v>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52" t="s">
        <v>32</v>
      </c>
      <c r="C218" s="46">
        <v>0</v>
      </c>
      <c r="D218" s="46">
        <v>9</v>
      </c>
      <c r="E218" s="46">
        <v>0</v>
      </c>
      <c r="F218" s="49">
        <f t="shared" si="3"/>
        <v>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52" t="s">
        <v>33</v>
      </c>
      <c r="C219" s="46">
        <v>0</v>
      </c>
      <c r="D219" s="46">
        <v>1</v>
      </c>
      <c r="E219" s="46">
        <v>0</v>
      </c>
      <c r="F219" s="49">
        <f t="shared" si="3"/>
        <v>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52" t="s">
        <v>34</v>
      </c>
      <c r="C220" s="46">
        <v>0</v>
      </c>
      <c r="D220" s="46">
        <v>18</v>
      </c>
      <c r="E220" s="46">
        <v>0</v>
      </c>
      <c r="F220" s="49">
        <f t="shared" si="3"/>
        <v>18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53" t="s">
        <v>35</v>
      </c>
      <c r="C221" s="51">
        <v>0</v>
      </c>
      <c r="D221" s="51">
        <v>103</v>
      </c>
      <c r="E221" s="51">
        <v>0</v>
      </c>
      <c r="F221" s="49">
        <f t="shared" si="3"/>
        <v>103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53" t="s">
        <v>36</v>
      </c>
      <c r="C222" s="51">
        <v>0</v>
      </c>
      <c r="D222" s="51">
        <v>155</v>
      </c>
      <c r="E222" s="51">
        <v>7</v>
      </c>
      <c r="F222" s="49">
        <f t="shared" si="3"/>
        <v>162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53" t="s">
        <v>120</v>
      </c>
      <c r="C223" s="51">
        <v>0</v>
      </c>
      <c r="D223" s="51">
        <v>1</v>
      </c>
      <c r="E223" s="51">
        <v>0</v>
      </c>
      <c r="F223" s="49">
        <f t="shared" si="3"/>
        <v>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53" t="s">
        <v>37</v>
      </c>
      <c r="C224" s="51">
        <v>0</v>
      </c>
      <c r="D224" s="51">
        <v>3</v>
      </c>
      <c r="E224" s="51">
        <v>0</v>
      </c>
      <c r="F224" s="49">
        <f t="shared" si="3"/>
        <v>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53" t="s">
        <v>121</v>
      </c>
      <c r="C225" s="51">
        <v>0</v>
      </c>
      <c r="D225" s="51">
        <v>2</v>
      </c>
      <c r="E225" s="51">
        <v>0</v>
      </c>
      <c r="F225" s="49">
        <f t="shared" si="3"/>
        <v>2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53" t="s">
        <v>38</v>
      </c>
      <c r="C226" s="51">
        <v>0</v>
      </c>
      <c r="D226" s="51">
        <v>61</v>
      </c>
      <c r="E226" s="51">
        <v>0</v>
      </c>
      <c r="F226" s="49">
        <f t="shared" si="3"/>
        <v>61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53" t="s">
        <v>39</v>
      </c>
      <c r="C227" s="51">
        <v>0</v>
      </c>
      <c r="D227" s="51">
        <v>781</v>
      </c>
      <c r="E227" s="51">
        <v>2</v>
      </c>
      <c r="F227" s="49">
        <f t="shared" si="3"/>
        <v>783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53" t="s">
        <v>40</v>
      </c>
      <c r="C228" s="51">
        <v>0</v>
      </c>
      <c r="D228" s="51">
        <v>12</v>
      </c>
      <c r="E228" s="51">
        <v>0</v>
      </c>
      <c r="F228" s="49">
        <f t="shared" si="3"/>
        <v>12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53" t="s">
        <v>41</v>
      </c>
      <c r="C229" s="51">
        <v>0</v>
      </c>
      <c r="D229" s="51">
        <v>132</v>
      </c>
      <c r="E229" s="51">
        <v>0</v>
      </c>
      <c r="F229" s="49">
        <f t="shared" si="3"/>
        <v>132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53" t="s">
        <v>42</v>
      </c>
      <c r="C230" s="51">
        <v>0</v>
      </c>
      <c r="D230" s="51">
        <v>2</v>
      </c>
      <c r="E230" s="51">
        <v>0</v>
      </c>
      <c r="F230" s="49">
        <f t="shared" si="3"/>
        <v>2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53" t="s">
        <v>122</v>
      </c>
      <c r="C231" s="51">
        <v>0</v>
      </c>
      <c r="D231" s="51">
        <v>1</v>
      </c>
      <c r="E231" s="51">
        <v>0</v>
      </c>
      <c r="F231" s="49">
        <f t="shared" si="3"/>
        <v>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53" t="s">
        <v>43</v>
      </c>
      <c r="C232" s="51">
        <v>0</v>
      </c>
      <c r="D232" s="51">
        <v>4</v>
      </c>
      <c r="E232" s="51">
        <v>0</v>
      </c>
      <c r="F232" s="49">
        <f t="shared" si="3"/>
        <v>4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53" t="s">
        <v>44</v>
      </c>
      <c r="C233" s="51">
        <v>0</v>
      </c>
      <c r="D233" s="51">
        <v>9</v>
      </c>
      <c r="E233" s="51">
        <v>0</v>
      </c>
      <c r="F233" s="49">
        <f t="shared" si="3"/>
        <v>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53" t="s">
        <v>45</v>
      </c>
      <c r="C234" s="51">
        <v>0</v>
      </c>
      <c r="D234" s="51">
        <v>42</v>
      </c>
      <c r="E234" s="51">
        <v>0</v>
      </c>
      <c r="F234" s="49">
        <f t="shared" si="3"/>
        <v>42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53" t="s">
        <v>46</v>
      </c>
      <c r="C235" s="51">
        <v>0</v>
      </c>
      <c r="D235" s="51">
        <v>1</v>
      </c>
      <c r="E235" s="51">
        <v>0</v>
      </c>
      <c r="F235" s="49">
        <f t="shared" si="3"/>
        <v>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53" t="s">
        <v>47</v>
      </c>
      <c r="C236" s="51">
        <v>0</v>
      </c>
      <c r="D236" s="51">
        <v>1</v>
      </c>
      <c r="E236" s="51">
        <v>0</v>
      </c>
      <c r="F236" s="49">
        <f t="shared" si="3"/>
        <v>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53" t="s">
        <v>48</v>
      </c>
      <c r="C237" s="51">
        <v>0</v>
      </c>
      <c r="D237" s="51">
        <v>808</v>
      </c>
      <c r="E237" s="51">
        <v>3</v>
      </c>
      <c r="F237" s="49">
        <f t="shared" si="3"/>
        <v>811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53" t="s">
        <v>49</v>
      </c>
      <c r="C238" s="51">
        <v>0</v>
      </c>
      <c r="D238" s="51">
        <v>11</v>
      </c>
      <c r="E238" s="51">
        <v>0</v>
      </c>
      <c r="F238" s="49">
        <f t="shared" si="3"/>
        <v>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53" t="s">
        <v>107</v>
      </c>
      <c r="C239" s="51">
        <v>0</v>
      </c>
      <c r="D239" s="51">
        <v>2</v>
      </c>
      <c r="E239" s="51">
        <v>0</v>
      </c>
      <c r="F239" s="49">
        <f t="shared" si="3"/>
        <v>2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53" t="s">
        <v>51</v>
      </c>
      <c r="C240" s="51">
        <v>0</v>
      </c>
      <c r="D240" s="51">
        <v>1</v>
      </c>
      <c r="E240" s="51">
        <v>0</v>
      </c>
      <c r="F240" s="49">
        <f t="shared" ref="F240:F303" si="4">SUM(C240:E240)</f>
        <v>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53" t="s">
        <v>53</v>
      </c>
      <c r="C241" s="51">
        <v>0</v>
      </c>
      <c r="D241" s="51">
        <v>580</v>
      </c>
      <c r="E241" s="51">
        <v>3</v>
      </c>
      <c r="F241" s="49">
        <f t="shared" si="4"/>
        <v>583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53" t="s">
        <v>54</v>
      </c>
      <c r="C242" s="51">
        <v>0</v>
      </c>
      <c r="D242" s="51">
        <v>11</v>
      </c>
      <c r="E242" s="51">
        <v>0</v>
      </c>
      <c r="F242" s="49">
        <f t="shared" si="4"/>
        <v>11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53" t="s">
        <v>55</v>
      </c>
      <c r="C243" s="51">
        <v>0</v>
      </c>
      <c r="D243" s="51">
        <v>5</v>
      </c>
      <c r="E243" s="51">
        <v>0</v>
      </c>
      <c r="F243" s="49">
        <f t="shared" si="4"/>
        <v>5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53" t="s">
        <v>56</v>
      </c>
      <c r="C244" s="51">
        <v>0</v>
      </c>
      <c r="D244" s="51">
        <v>3</v>
      </c>
      <c r="E244" s="51">
        <v>0</v>
      </c>
      <c r="F244" s="49">
        <f t="shared" si="4"/>
        <v>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53" t="s">
        <v>57</v>
      </c>
      <c r="C245" s="51">
        <v>0</v>
      </c>
      <c r="D245" s="51">
        <v>1</v>
      </c>
      <c r="E245" s="51">
        <v>0</v>
      </c>
      <c r="F245" s="49">
        <f t="shared" si="4"/>
        <v>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53" t="s">
        <v>58</v>
      </c>
      <c r="C246" s="51">
        <v>0</v>
      </c>
      <c r="D246" s="51">
        <v>26</v>
      </c>
      <c r="E246" s="51">
        <v>0</v>
      </c>
      <c r="F246" s="49">
        <f t="shared" si="4"/>
        <v>26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53" t="s">
        <v>123</v>
      </c>
      <c r="C247" s="51">
        <v>0</v>
      </c>
      <c r="D247" s="51">
        <v>1</v>
      </c>
      <c r="E247" s="51">
        <v>0</v>
      </c>
      <c r="F247" s="49">
        <f t="shared" si="4"/>
        <v>1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53" t="s">
        <v>124</v>
      </c>
      <c r="C248" s="51">
        <v>0</v>
      </c>
      <c r="D248" s="51">
        <v>1</v>
      </c>
      <c r="E248" s="51">
        <v>0</v>
      </c>
      <c r="F248" s="49">
        <f t="shared" si="4"/>
        <v>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53" t="s">
        <v>60</v>
      </c>
      <c r="C249" s="51">
        <v>0</v>
      </c>
      <c r="D249" s="51">
        <v>2</v>
      </c>
      <c r="E249" s="51">
        <v>0</v>
      </c>
      <c r="F249" s="49">
        <f t="shared" si="4"/>
        <v>2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53" t="s">
        <v>61</v>
      </c>
      <c r="C250" s="51">
        <v>0</v>
      </c>
      <c r="D250" s="51">
        <v>9</v>
      </c>
      <c r="E250" s="51">
        <v>0</v>
      </c>
      <c r="F250" s="49">
        <f t="shared" si="4"/>
        <v>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53" t="s">
        <v>62</v>
      </c>
      <c r="C251" s="51">
        <v>0</v>
      </c>
      <c r="D251" s="51">
        <v>14</v>
      </c>
      <c r="E251" s="51">
        <v>0</v>
      </c>
      <c r="F251" s="49">
        <f t="shared" si="4"/>
        <v>14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53" t="s">
        <v>63</v>
      </c>
      <c r="C252" s="51">
        <v>0</v>
      </c>
      <c r="D252" s="51">
        <v>130</v>
      </c>
      <c r="E252" s="51">
        <v>0</v>
      </c>
      <c r="F252" s="49">
        <f t="shared" si="4"/>
        <v>130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53" t="s">
        <v>64</v>
      </c>
      <c r="C253" s="51">
        <v>0</v>
      </c>
      <c r="D253" s="51">
        <v>16</v>
      </c>
      <c r="E253" s="51">
        <v>1</v>
      </c>
      <c r="F253" s="49">
        <f t="shared" si="4"/>
        <v>17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53" t="s">
        <v>65</v>
      </c>
      <c r="C254" s="51">
        <v>0</v>
      </c>
      <c r="D254" s="51">
        <v>1</v>
      </c>
      <c r="E254" s="51">
        <v>0</v>
      </c>
      <c r="F254" s="49">
        <f t="shared" si="4"/>
        <v>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53" t="s">
        <v>125</v>
      </c>
      <c r="C255" s="51">
        <v>0</v>
      </c>
      <c r="D255" s="51">
        <v>1</v>
      </c>
      <c r="E255" s="51">
        <v>0</v>
      </c>
      <c r="F255" s="49">
        <f t="shared" si="4"/>
        <v>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53" t="s">
        <v>66</v>
      </c>
      <c r="C256" s="51">
        <v>0</v>
      </c>
      <c r="D256" s="51">
        <v>7</v>
      </c>
      <c r="E256" s="51">
        <v>0</v>
      </c>
      <c r="F256" s="49">
        <f t="shared" si="4"/>
        <v>7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53" t="s">
        <v>67</v>
      </c>
      <c r="C257" s="51">
        <v>0</v>
      </c>
      <c r="D257" s="51">
        <v>1</v>
      </c>
      <c r="E257" s="51">
        <v>0</v>
      </c>
      <c r="F257" s="49">
        <f t="shared" si="4"/>
        <v>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53" t="s">
        <v>68</v>
      </c>
      <c r="C258" s="51">
        <v>0</v>
      </c>
      <c r="D258" s="51">
        <v>13</v>
      </c>
      <c r="E258" s="51">
        <v>0</v>
      </c>
      <c r="F258" s="49">
        <f t="shared" si="4"/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53" t="s">
        <v>69</v>
      </c>
      <c r="C259" s="51">
        <v>0</v>
      </c>
      <c r="D259" s="51">
        <v>27</v>
      </c>
      <c r="E259" s="51">
        <v>0</v>
      </c>
      <c r="F259" s="49">
        <f t="shared" si="4"/>
        <v>27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53" t="s">
        <v>70</v>
      </c>
      <c r="C260" s="51">
        <v>0</v>
      </c>
      <c r="D260" s="51">
        <v>31</v>
      </c>
      <c r="E260" s="51">
        <v>0</v>
      </c>
      <c r="F260" s="49">
        <f t="shared" si="4"/>
        <v>31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53" t="s">
        <v>108</v>
      </c>
      <c r="C261" s="51">
        <v>0</v>
      </c>
      <c r="D261" s="51">
        <v>1</v>
      </c>
      <c r="E261" s="51">
        <v>0</v>
      </c>
      <c r="F261" s="49">
        <f t="shared" si="4"/>
        <v>1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53" t="s">
        <v>71</v>
      </c>
      <c r="C262" s="51">
        <v>0</v>
      </c>
      <c r="D262" s="51">
        <v>27</v>
      </c>
      <c r="E262" s="51">
        <v>1</v>
      </c>
      <c r="F262" s="49">
        <f t="shared" si="4"/>
        <v>28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53" t="s">
        <v>72</v>
      </c>
      <c r="C263" s="51">
        <v>0</v>
      </c>
      <c r="D263" s="51">
        <v>196</v>
      </c>
      <c r="E263" s="51">
        <v>0</v>
      </c>
      <c r="F263" s="49">
        <f t="shared" si="4"/>
        <v>196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53" t="s">
        <v>109</v>
      </c>
      <c r="C264" s="51">
        <v>0</v>
      </c>
      <c r="D264" s="51">
        <v>1</v>
      </c>
      <c r="E264" s="51">
        <v>0</v>
      </c>
      <c r="F264" s="49">
        <f t="shared" si="4"/>
        <v>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53" t="s">
        <v>73</v>
      </c>
      <c r="C265" s="51">
        <v>0</v>
      </c>
      <c r="D265" s="51">
        <v>51</v>
      </c>
      <c r="E265" s="51">
        <v>0</v>
      </c>
      <c r="F265" s="49">
        <f t="shared" si="4"/>
        <v>51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53" t="s">
        <v>74</v>
      </c>
      <c r="C266" s="51">
        <v>0</v>
      </c>
      <c r="D266" s="51">
        <v>206</v>
      </c>
      <c r="E266" s="51">
        <v>2</v>
      </c>
      <c r="F266" s="49">
        <f t="shared" si="4"/>
        <v>208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53" t="s">
        <v>75</v>
      </c>
      <c r="C267" s="51">
        <v>0</v>
      </c>
      <c r="D267" s="51">
        <v>12</v>
      </c>
      <c r="E267" s="51">
        <v>0</v>
      </c>
      <c r="F267" s="49">
        <f t="shared" si="4"/>
        <v>12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53" t="s">
        <v>77</v>
      </c>
      <c r="C268" s="51">
        <v>0</v>
      </c>
      <c r="D268" s="51">
        <v>735</v>
      </c>
      <c r="E268" s="51">
        <v>0</v>
      </c>
      <c r="F268" s="49">
        <f t="shared" si="4"/>
        <v>735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53" t="s">
        <v>78</v>
      </c>
      <c r="C269" s="51">
        <v>0</v>
      </c>
      <c r="D269" s="51">
        <v>22</v>
      </c>
      <c r="E269" s="51">
        <v>0</v>
      </c>
      <c r="F269" s="49">
        <f t="shared" si="4"/>
        <v>22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53" t="s">
        <v>110</v>
      </c>
      <c r="C270" s="51">
        <v>0</v>
      </c>
      <c r="D270" s="51">
        <v>2</v>
      </c>
      <c r="E270" s="51">
        <v>0</v>
      </c>
      <c r="F270" s="49">
        <f t="shared" si="4"/>
        <v>2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53" t="s">
        <v>79</v>
      </c>
      <c r="C271" s="51">
        <v>0</v>
      </c>
      <c r="D271" s="51">
        <v>1172</v>
      </c>
      <c r="E271" s="51">
        <v>7</v>
      </c>
      <c r="F271" s="49">
        <f t="shared" si="4"/>
        <v>1179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53" t="s">
        <v>81</v>
      </c>
      <c r="C272" s="51">
        <v>0</v>
      </c>
      <c r="D272" s="51">
        <v>2</v>
      </c>
      <c r="E272" s="51">
        <v>0</v>
      </c>
      <c r="F272" s="49">
        <f t="shared" si="4"/>
        <v>2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53" t="s">
        <v>126</v>
      </c>
      <c r="C273" s="51">
        <v>0</v>
      </c>
      <c r="D273" s="51">
        <v>1</v>
      </c>
      <c r="E273" s="51">
        <v>0</v>
      </c>
      <c r="F273" s="49">
        <f t="shared" si="4"/>
        <v>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53" t="s">
        <v>82</v>
      </c>
      <c r="C274" s="51">
        <v>1</v>
      </c>
      <c r="D274" s="51">
        <v>10</v>
      </c>
      <c r="E274" s="51">
        <v>0</v>
      </c>
      <c r="F274" s="49">
        <f t="shared" si="4"/>
        <v>11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53" t="s">
        <v>85</v>
      </c>
      <c r="C275" s="51">
        <v>0</v>
      </c>
      <c r="D275" s="51">
        <v>12</v>
      </c>
      <c r="E275" s="51">
        <v>0</v>
      </c>
      <c r="F275" s="49">
        <f t="shared" si="4"/>
        <v>12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53" t="s">
        <v>86</v>
      </c>
      <c r="C276" s="51">
        <v>0</v>
      </c>
      <c r="D276" s="51">
        <v>77</v>
      </c>
      <c r="E276" s="51">
        <v>5</v>
      </c>
      <c r="F276" s="49">
        <f t="shared" si="4"/>
        <v>82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53" t="s">
        <v>127</v>
      </c>
      <c r="C277" s="51">
        <v>0</v>
      </c>
      <c r="D277" s="51">
        <v>1</v>
      </c>
      <c r="E277" s="51">
        <v>0</v>
      </c>
      <c r="F277" s="49">
        <f t="shared" si="4"/>
        <v>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53" t="s">
        <v>87</v>
      </c>
      <c r="C278" s="51">
        <v>0</v>
      </c>
      <c r="D278" s="51">
        <v>53</v>
      </c>
      <c r="E278" s="51">
        <v>0</v>
      </c>
      <c r="F278" s="49">
        <f t="shared" si="4"/>
        <v>53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53" t="s">
        <v>88</v>
      </c>
      <c r="C279" s="51">
        <v>0</v>
      </c>
      <c r="D279" s="51">
        <v>13</v>
      </c>
      <c r="E279" s="51">
        <v>0</v>
      </c>
      <c r="F279" s="49">
        <f t="shared" si="4"/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53" t="s">
        <v>90</v>
      </c>
      <c r="C280" s="51">
        <v>0</v>
      </c>
      <c r="D280" s="51">
        <v>86</v>
      </c>
      <c r="E280" s="51">
        <v>0</v>
      </c>
      <c r="F280" s="49">
        <f t="shared" si="4"/>
        <v>86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53" t="s">
        <v>91</v>
      </c>
      <c r="C281" s="51">
        <v>0</v>
      </c>
      <c r="D281" s="51">
        <v>623</v>
      </c>
      <c r="E281" s="51">
        <v>3</v>
      </c>
      <c r="F281" s="49">
        <f t="shared" si="4"/>
        <v>626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53" t="s">
        <v>92</v>
      </c>
      <c r="C282" s="51">
        <v>1</v>
      </c>
      <c r="D282" s="51">
        <v>12</v>
      </c>
      <c r="E282" s="51">
        <v>0</v>
      </c>
      <c r="F282" s="49">
        <f t="shared" si="4"/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53" t="s">
        <v>93</v>
      </c>
      <c r="C283" s="51">
        <v>0</v>
      </c>
      <c r="D283" s="51">
        <v>12</v>
      </c>
      <c r="E283" s="51">
        <v>0</v>
      </c>
      <c r="F283" s="49">
        <f t="shared" si="4"/>
        <v>12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53" t="s">
        <v>117</v>
      </c>
      <c r="C284" s="51">
        <v>0</v>
      </c>
      <c r="D284" s="51">
        <v>1</v>
      </c>
      <c r="E284" s="51">
        <v>0</v>
      </c>
      <c r="F284" s="49">
        <f t="shared" si="4"/>
        <v>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53" t="s">
        <v>94</v>
      </c>
      <c r="C285" s="51">
        <v>1</v>
      </c>
      <c r="D285" s="51">
        <v>3</v>
      </c>
      <c r="E285" s="51">
        <v>0</v>
      </c>
      <c r="F285" s="49">
        <f t="shared" si="4"/>
        <v>4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53" t="s">
        <v>95</v>
      </c>
      <c r="C286" s="51">
        <v>0</v>
      </c>
      <c r="D286" s="51">
        <v>53</v>
      </c>
      <c r="E286" s="51">
        <v>0</v>
      </c>
      <c r="F286" s="49">
        <f t="shared" si="4"/>
        <v>53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53" t="s">
        <v>96</v>
      </c>
      <c r="C287" s="51">
        <v>0</v>
      </c>
      <c r="D287" s="51">
        <v>3</v>
      </c>
      <c r="E287" s="51">
        <v>0</v>
      </c>
      <c r="F287" s="49">
        <f t="shared" si="4"/>
        <v>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53" t="s">
        <v>97</v>
      </c>
      <c r="C288" s="51">
        <v>0</v>
      </c>
      <c r="D288" s="51">
        <v>9</v>
      </c>
      <c r="E288" s="51">
        <v>0</v>
      </c>
      <c r="F288" s="49">
        <f t="shared" si="4"/>
        <v>9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53" t="s">
        <v>118</v>
      </c>
      <c r="C289" s="51">
        <v>0</v>
      </c>
      <c r="D289" s="51">
        <v>1</v>
      </c>
      <c r="E289" s="51">
        <v>0</v>
      </c>
      <c r="F289" s="49">
        <f t="shared" si="4"/>
        <v>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53" t="s">
        <v>98</v>
      </c>
      <c r="C290" s="51">
        <v>0</v>
      </c>
      <c r="D290" s="51">
        <v>3</v>
      </c>
      <c r="E290" s="51">
        <v>0</v>
      </c>
      <c r="F290" s="49">
        <f t="shared" si="4"/>
        <v>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53" t="s">
        <v>99</v>
      </c>
      <c r="C291" s="51">
        <v>0</v>
      </c>
      <c r="D291" s="51">
        <v>22</v>
      </c>
      <c r="E291" s="51">
        <v>0</v>
      </c>
      <c r="F291" s="49">
        <f t="shared" si="4"/>
        <v>22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53" t="s">
        <v>100</v>
      </c>
      <c r="C292" s="51">
        <v>0</v>
      </c>
      <c r="D292" s="51">
        <v>5</v>
      </c>
      <c r="E292" s="51">
        <v>0</v>
      </c>
      <c r="F292" s="49">
        <f t="shared" si="4"/>
        <v>5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53" t="s">
        <v>101</v>
      </c>
      <c r="C293" s="51">
        <v>0</v>
      </c>
      <c r="D293" s="51">
        <v>7</v>
      </c>
      <c r="E293" s="51">
        <v>0</v>
      </c>
      <c r="F293" s="49">
        <f t="shared" si="4"/>
        <v>7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53" t="s">
        <v>102</v>
      </c>
      <c r="C294" s="51">
        <v>0</v>
      </c>
      <c r="D294" s="51">
        <v>138</v>
      </c>
      <c r="E294" s="51">
        <v>6</v>
      </c>
      <c r="F294" s="49">
        <f t="shared" si="4"/>
        <v>144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53" t="s">
        <v>103</v>
      </c>
      <c r="C295" s="51">
        <v>0</v>
      </c>
      <c r="D295" s="51">
        <v>8</v>
      </c>
      <c r="E295" s="51">
        <v>0</v>
      </c>
      <c r="F295" s="49">
        <f t="shared" si="4"/>
        <v>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53" t="s">
        <v>128</v>
      </c>
      <c r="C296" s="51">
        <v>0</v>
      </c>
      <c r="D296" s="51">
        <v>1</v>
      </c>
      <c r="E296" s="51">
        <v>0</v>
      </c>
      <c r="F296" s="49">
        <f t="shared" si="4"/>
        <v>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53" t="s">
        <v>104</v>
      </c>
      <c r="C297" s="51">
        <v>0</v>
      </c>
      <c r="D297" s="51">
        <v>1408</v>
      </c>
      <c r="E297" s="51">
        <v>4</v>
      </c>
      <c r="F297" s="49">
        <f t="shared" si="4"/>
        <v>1412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39" t="s">
        <v>129</v>
      </c>
      <c r="C300" s="40"/>
      <c r="D300" s="40"/>
      <c r="E300" s="40"/>
      <c r="F300" s="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23" t="s">
        <v>29</v>
      </c>
      <c r="C301" s="42" t="s">
        <v>6</v>
      </c>
      <c r="D301" s="42" t="s">
        <v>7</v>
      </c>
      <c r="E301" s="42" t="s">
        <v>8</v>
      </c>
      <c r="F301" s="42" t="s">
        <v>11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52" t="s">
        <v>30</v>
      </c>
      <c r="C302" s="45">
        <v>0</v>
      </c>
      <c r="D302" s="45">
        <v>2</v>
      </c>
      <c r="E302" s="46">
        <v>0</v>
      </c>
      <c r="F302" s="47">
        <f t="shared" si="4"/>
        <v>2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52" t="s">
        <v>31</v>
      </c>
      <c r="C303" s="46">
        <v>0</v>
      </c>
      <c r="D303" s="46">
        <v>2</v>
      </c>
      <c r="E303" s="46">
        <v>0</v>
      </c>
      <c r="F303" s="49">
        <f t="shared" si="4"/>
        <v>2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52" t="s">
        <v>32</v>
      </c>
      <c r="C304" s="46">
        <v>0</v>
      </c>
      <c r="D304" s="46">
        <v>5</v>
      </c>
      <c r="E304" s="46">
        <v>0</v>
      </c>
      <c r="F304" s="49">
        <f t="shared" ref="F304:F367" si="5">SUM(C304:E304)</f>
        <v>5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52" t="s">
        <v>33</v>
      </c>
      <c r="C305" s="46">
        <v>0</v>
      </c>
      <c r="D305" s="46">
        <v>3</v>
      </c>
      <c r="E305" s="46">
        <v>0</v>
      </c>
      <c r="F305" s="49">
        <f t="shared" si="5"/>
        <v>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52" t="s">
        <v>34</v>
      </c>
      <c r="C306" s="46">
        <v>0</v>
      </c>
      <c r="D306" s="46">
        <v>37</v>
      </c>
      <c r="E306" s="46">
        <v>0</v>
      </c>
      <c r="F306" s="49">
        <f t="shared" si="5"/>
        <v>37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53" t="s">
        <v>35</v>
      </c>
      <c r="C307" s="51">
        <v>0</v>
      </c>
      <c r="D307" s="51">
        <v>97</v>
      </c>
      <c r="E307" s="51">
        <v>0</v>
      </c>
      <c r="F307" s="49">
        <f t="shared" si="5"/>
        <v>97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53" t="s">
        <v>36</v>
      </c>
      <c r="C308" s="51">
        <v>0</v>
      </c>
      <c r="D308" s="51">
        <v>101</v>
      </c>
      <c r="E308" s="51">
        <v>16</v>
      </c>
      <c r="F308" s="49">
        <f t="shared" si="5"/>
        <v>117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53" t="s">
        <v>120</v>
      </c>
      <c r="C309" s="51">
        <v>0</v>
      </c>
      <c r="D309" s="51">
        <v>1</v>
      </c>
      <c r="E309" s="51">
        <v>0</v>
      </c>
      <c r="F309" s="49">
        <f t="shared" si="5"/>
        <v>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53" t="s">
        <v>37</v>
      </c>
      <c r="C310" s="51">
        <v>0</v>
      </c>
      <c r="D310" s="51">
        <v>6</v>
      </c>
      <c r="E310" s="51">
        <v>0</v>
      </c>
      <c r="F310" s="49">
        <f t="shared" si="5"/>
        <v>6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53" t="s">
        <v>121</v>
      </c>
      <c r="C311" s="51">
        <v>0</v>
      </c>
      <c r="D311" s="51">
        <v>2</v>
      </c>
      <c r="E311" s="51">
        <v>0</v>
      </c>
      <c r="F311" s="49">
        <f t="shared" si="5"/>
        <v>2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53" t="s">
        <v>38</v>
      </c>
      <c r="C312" s="51">
        <v>0</v>
      </c>
      <c r="D312" s="51">
        <v>43</v>
      </c>
      <c r="E312" s="51">
        <v>0</v>
      </c>
      <c r="F312" s="49">
        <f t="shared" si="5"/>
        <v>43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53" t="s">
        <v>39</v>
      </c>
      <c r="C313" s="51">
        <v>0</v>
      </c>
      <c r="D313" s="51">
        <v>682</v>
      </c>
      <c r="E313" s="51">
        <v>1</v>
      </c>
      <c r="F313" s="49">
        <f t="shared" si="5"/>
        <v>683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53" t="s">
        <v>40</v>
      </c>
      <c r="C314" s="51">
        <v>0</v>
      </c>
      <c r="D314" s="51">
        <v>1</v>
      </c>
      <c r="E314" s="51">
        <v>0</v>
      </c>
      <c r="F314" s="49">
        <f t="shared" si="5"/>
        <v>1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53" t="s">
        <v>41</v>
      </c>
      <c r="C315" s="51">
        <v>0</v>
      </c>
      <c r="D315" s="51">
        <v>104</v>
      </c>
      <c r="E315" s="51">
        <v>0</v>
      </c>
      <c r="F315" s="49">
        <f t="shared" si="5"/>
        <v>104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53" t="s">
        <v>42</v>
      </c>
      <c r="C316" s="51">
        <v>0</v>
      </c>
      <c r="D316" s="51">
        <v>3</v>
      </c>
      <c r="E316" s="51">
        <v>0</v>
      </c>
      <c r="F316" s="49">
        <f t="shared" si="5"/>
        <v>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53" t="s">
        <v>43</v>
      </c>
      <c r="C317" s="51">
        <v>0</v>
      </c>
      <c r="D317" s="51">
        <v>5</v>
      </c>
      <c r="E317" s="51">
        <v>0</v>
      </c>
      <c r="F317" s="49">
        <f t="shared" si="5"/>
        <v>5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53" t="s">
        <v>44</v>
      </c>
      <c r="C318" s="51">
        <v>0</v>
      </c>
      <c r="D318" s="51">
        <v>7</v>
      </c>
      <c r="E318" s="51">
        <v>0</v>
      </c>
      <c r="F318" s="49">
        <f t="shared" si="5"/>
        <v>7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53" t="s">
        <v>45</v>
      </c>
      <c r="C319" s="51">
        <v>0</v>
      </c>
      <c r="D319" s="51">
        <v>33</v>
      </c>
      <c r="E319" s="51">
        <v>0</v>
      </c>
      <c r="F319" s="49">
        <f t="shared" si="5"/>
        <v>33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53" t="s">
        <v>47</v>
      </c>
      <c r="C320" s="51">
        <v>0</v>
      </c>
      <c r="D320" s="51">
        <v>4</v>
      </c>
      <c r="E320" s="51">
        <v>0</v>
      </c>
      <c r="F320" s="49">
        <f t="shared" si="5"/>
        <v>4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53" t="s">
        <v>48</v>
      </c>
      <c r="C321" s="51">
        <v>0</v>
      </c>
      <c r="D321" s="51">
        <v>581</v>
      </c>
      <c r="E321" s="51">
        <v>3</v>
      </c>
      <c r="F321" s="49">
        <f t="shared" si="5"/>
        <v>584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53" t="s">
        <v>130</v>
      </c>
      <c r="C322" s="51">
        <v>0</v>
      </c>
      <c r="D322" s="51">
        <v>1</v>
      </c>
      <c r="E322" s="51">
        <v>0</v>
      </c>
      <c r="F322" s="49">
        <f t="shared" si="5"/>
        <v>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53" t="s">
        <v>49</v>
      </c>
      <c r="C323" s="51">
        <v>0</v>
      </c>
      <c r="D323" s="51">
        <v>3</v>
      </c>
      <c r="E323" s="51">
        <v>0</v>
      </c>
      <c r="F323" s="49">
        <f t="shared" si="5"/>
        <v>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53" t="s">
        <v>50</v>
      </c>
      <c r="C324" s="51">
        <v>0</v>
      </c>
      <c r="D324" s="51">
        <v>1</v>
      </c>
      <c r="E324" s="51">
        <v>0</v>
      </c>
      <c r="F324" s="49">
        <f t="shared" si="5"/>
        <v>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53" t="s">
        <v>107</v>
      </c>
      <c r="C325" s="51">
        <v>0</v>
      </c>
      <c r="D325" s="51">
        <v>1</v>
      </c>
      <c r="E325" s="51">
        <v>0</v>
      </c>
      <c r="F325" s="49">
        <f t="shared" si="5"/>
        <v>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53" t="s">
        <v>131</v>
      </c>
      <c r="C326" s="51">
        <v>0</v>
      </c>
      <c r="D326" s="51">
        <v>1</v>
      </c>
      <c r="E326" s="51">
        <v>0</v>
      </c>
      <c r="F326" s="49">
        <f t="shared" si="5"/>
        <v>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53" t="s">
        <v>53</v>
      </c>
      <c r="C327" s="51">
        <v>0</v>
      </c>
      <c r="D327" s="51">
        <v>645</v>
      </c>
      <c r="E327" s="51">
        <v>12</v>
      </c>
      <c r="F327" s="49">
        <f t="shared" si="5"/>
        <v>657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53" t="s">
        <v>54</v>
      </c>
      <c r="C328" s="51">
        <v>0</v>
      </c>
      <c r="D328" s="51">
        <v>3</v>
      </c>
      <c r="E328" s="51">
        <v>0</v>
      </c>
      <c r="F328" s="49">
        <f t="shared" si="5"/>
        <v>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53" t="s">
        <v>55</v>
      </c>
      <c r="C329" s="51">
        <v>0</v>
      </c>
      <c r="D329" s="51">
        <v>2</v>
      </c>
      <c r="E329" s="51">
        <v>0</v>
      </c>
      <c r="F329" s="49">
        <f t="shared" si="5"/>
        <v>2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53" t="s">
        <v>56</v>
      </c>
      <c r="C330" s="51">
        <v>0</v>
      </c>
      <c r="D330" s="51">
        <v>1</v>
      </c>
      <c r="E330" s="51">
        <v>0</v>
      </c>
      <c r="F330" s="49">
        <f t="shared" si="5"/>
        <v>1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53" t="s">
        <v>58</v>
      </c>
      <c r="C331" s="51">
        <v>0</v>
      </c>
      <c r="D331" s="51">
        <v>24</v>
      </c>
      <c r="E331" s="51">
        <v>0</v>
      </c>
      <c r="F331" s="49">
        <f t="shared" si="5"/>
        <v>24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53" t="s">
        <v>59</v>
      </c>
      <c r="C332" s="51">
        <v>0</v>
      </c>
      <c r="D332" s="51">
        <v>1</v>
      </c>
      <c r="E332" s="51">
        <v>0</v>
      </c>
      <c r="F332" s="49">
        <f t="shared" si="5"/>
        <v>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53" t="s">
        <v>132</v>
      </c>
      <c r="C333" s="51">
        <v>0</v>
      </c>
      <c r="D333" s="51">
        <v>2</v>
      </c>
      <c r="E333" s="51">
        <v>0</v>
      </c>
      <c r="F333" s="49">
        <f t="shared" si="5"/>
        <v>2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53" t="s">
        <v>133</v>
      </c>
      <c r="C334" s="51">
        <v>0</v>
      </c>
      <c r="D334" s="51">
        <v>5</v>
      </c>
      <c r="E334" s="51">
        <v>0</v>
      </c>
      <c r="F334" s="49">
        <f t="shared" si="5"/>
        <v>5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53" t="s">
        <v>61</v>
      </c>
      <c r="C335" s="51">
        <v>0</v>
      </c>
      <c r="D335" s="51">
        <v>5</v>
      </c>
      <c r="E335" s="51">
        <v>0</v>
      </c>
      <c r="F335" s="49">
        <f t="shared" si="5"/>
        <v>5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53" t="s">
        <v>62</v>
      </c>
      <c r="C336" s="51">
        <v>0</v>
      </c>
      <c r="D336" s="51">
        <v>11</v>
      </c>
      <c r="E336" s="51">
        <v>0</v>
      </c>
      <c r="F336" s="49">
        <f t="shared" si="5"/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53" t="s">
        <v>63</v>
      </c>
      <c r="C337" s="51">
        <v>0</v>
      </c>
      <c r="D337" s="51">
        <v>76</v>
      </c>
      <c r="E337" s="51">
        <v>0</v>
      </c>
      <c r="F337" s="49">
        <f t="shared" si="5"/>
        <v>76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53" t="s">
        <v>64</v>
      </c>
      <c r="C338" s="51">
        <v>0</v>
      </c>
      <c r="D338" s="51">
        <v>7</v>
      </c>
      <c r="E338" s="51">
        <v>0</v>
      </c>
      <c r="F338" s="49">
        <f t="shared" si="5"/>
        <v>7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53" t="s">
        <v>134</v>
      </c>
      <c r="C339" s="51">
        <v>0</v>
      </c>
      <c r="D339" s="51">
        <v>2</v>
      </c>
      <c r="E339" s="51">
        <v>0</v>
      </c>
      <c r="F339" s="49">
        <f t="shared" si="5"/>
        <v>2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53" t="s">
        <v>65</v>
      </c>
      <c r="C340" s="51">
        <v>0</v>
      </c>
      <c r="D340" s="51">
        <v>2</v>
      </c>
      <c r="E340" s="51">
        <v>0</v>
      </c>
      <c r="F340" s="49">
        <f t="shared" si="5"/>
        <v>2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53" t="s">
        <v>66</v>
      </c>
      <c r="C341" s="51">
        <v>0</v>
      </c>
      <c r="D341" s="51">
        <v>7</v>
      </c>
      <c r="E341" s="51">
        <v>0</v>
      </c>
      <c r="F341" s="49">
        <f t="shared" si="5"/>
        <v>7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53" t="s">
        <v>67</v>
      </c>
      <c r="C342" s="51">
        <v>0</v>
      </c>
      <c r="D342" s="51">
        <v>1</v>
      </c>
      <c r="E342" s="51">
        <v>0</v>
      </c>
      <c r="F342" s="49">
        <f t="shared" si="5"/>
        <v>1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53" t="s">
        <v>68</v>
      </c>
      <c r="C343" s="51">
        <v>0</v>
      </c>
      <c r="D343" s="51">
        <v>6</v>
      </c>
      <c r="E343" s="51">
        <v>0</v>
      </c>
      <c r="F343" s="49">
        <f t="shared" si="5"/>
        <v>6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53" t="s">
        <v>69</v>
      </c>
      <c r="C344" s="51">
        <v>0</v>
      </c>
      <c r="D344" s="51">
        <v>20</v>
      </c>
      <c r="E344" s="51">
        <v>0</v>
      </c>
      <c r="F344" s="49">
        <f t="shared" si="5"/>
        <v>20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53" t="s">
        <v>70</v>
      </c>
      <c r="C345" s="51">
        <v>0</v>
      </c>
      <c r="D345" s="51">
        <v>29</v>
      </c>
      <c r="E345" s="51">
        <v>0</v>
      </c>
      <c r="F345" s="49">
        <f t="shared" si="5"/>
        <v>29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53" t="s">
        <v>108</v>
      </c>
      <c r="C346" s="51">
        <v>0</v>
      </c>
      <c r="D346" s="51">
        <v>1</v>
      </c>
      <c r="E346" s="51">
        <v>0</v>
      </c>
      <c r="F346" s="49">
        <f t="shared" si="5"/>
        <v>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53" t="s">
        <v>71</v>
      </c>
      <c r="C347" s="51">
        <v>0</v>
      </c>
      <c r="D347" s="51">
        <v>32</v>
      </c>
      <c r="E347" s="51">
        <v>2</v>
      </c>
      <c r="F347" s="49">
        <f t="shared" si="5"/>
        <v>34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53" t="s">
        <v>72</v>
      </c>
      <c r="C348" s="51">
        <v>0</v>
      </c>
      <c r="D348" s="51">
        <v>159</v>
      </c>
      <c r="E348" s="51">
        <v>0</v>
      </c>
      <c r="F348" s="49">
        <f t="shared" si="5"/>
        <v>159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53" t="s">
        <v>73</v>
      </c>
      <c r="C349" s="51">
        <v>0</v>
      </c>
      <c r="D349" s="51">
        <v>43</v>
      </c>
      <c r="E349" s="51">
        <v>0</v>
      </c>
      <c r="F349" s="49">
        <f t="shared" si="5"/>
        <v>43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53" t="s">
        <v>74</v>
      </c>
      <c r="C350" s="51">
        <v>0</v>
      </c>
      <c r="D350" s="51">
        <v>184</v>
      </c>
      <c r="E350" s="51">
        <v>3</v>
      </c>
      <c r="F350" s="49">
        <f t="shared" si="5"/>
        <v>187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53" t="s">
        <v>75</v>
      </c>
      <c r="C351" s="51">
        <v>0</v>
      </c>
      <c r="D351" s="51">
        <v>22</v>
      </c>
      <c r="E351" s="51">
        <v>0</v>
      </c>
      <c r="F351" s="49">
        <f t="shared" si="5"/>
        <v>22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53" t="s">
        <v>76</v>
      </c>
      <c r="C352" s="51">
        <v>0</v>
      </c>
      <c r="D352" s="51">
        <v>2</v>
      </c>
      <c r="E352" s="51">
        <v>0</v>
      </c>
      <c r="F352" s="49">
        <f t="shared" si="5"/>
        <v>2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53" t="s">
        <v>77</v>
      </c>
      <c r="C353" s="51">
        <v>0</v>
      </c>
      <c r="D353" s="51">
        <v>649</v>
      </c>
      <c r="E353" s="51">
        <v>0</v>
      </c>
      <c r="F353" s="49">
        <f t="shared" si="5"/>
        <v>649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53" t="s">
        <v>78</v>
      </c>
      <c r="C354" s="51">
        <v>0</v>
      </c>
      <c r="D354" s="51">
        <v>34</v>
      </c>
      <c r="E354" s="51">
        <v>0</v>
      </c>
      <c r="F354" s="49">
        <f t="shared" si="5"/>
        <v>34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53" t="s">
        <v>79</v>
      </c>
      <c r="C355" s="51">
        <v>0</v>
      </c>
      <c r="D355" s="51">
        <v>1021</v>
      </c>
      <c r="E355" s="51">
        <v>9</v>
      </c>
      <c r="F355" s="49">
        <f t="shared" si="5"/>
        <v>1030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53" t="s">
        <v>81</v>
      </c>
      <c r="C356" s="51">
        <v>0</v>
      </c>
      <c r="D356" s="51">
        <v>1</v>
      </c>
      <c r="E356" s="51">
        <v>0</v>
      </c>
      <c r="F356" s="49">
        <f t="shared" si="5"/>
        <v>1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53" t="s">
        <v>82</v>
      </c>
      <c r="C357" s="51">
        <v>1</v>
      </c>
      <c r="D357" s="51">
        <v>7</v>
      </c>
      <c r="E357" s="51">
        <v>0</v>
      </c>
      <c r="F357" s="49">
        <f t="shared" si="5"/>
        <v>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53" t="s">
        <v>85</v>
      </c>
      <c r="C358" s="51">
        <v>0</v>
      </c>
      <c r="D358" s="51">
        <v>3</v>
      </c>
      <c r="E358" s="51">
        <v>0</v>
      </c>
      <c r="F358" s="49">
        <f t="shared" si="5"/>
        <v>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53" t="s">
        <v>86</v>
      </c>
      <c r="C359" s="51">
        <v>0</v>
      </c>
      <c r="D359" s="51">
        <v>48</v>
      </c>
      <c r="E359" s="51">
        <v>6</v>
      </c>
      <c r="F359" s="49">
        <f t="shared" si="5"/>
        <v>54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53" t="s">
        <v>112</v>
      </c>
      <c r="C360" s="51">
        <v>0</v>
      </c>
      <c r="D360" s="51">
        <v>0</v>
      </c>
      <c r="E360" s="51">
        <v>1</v>
      </c>
      <c r="F360" s="49">
        <f t="shared" si="5"/>
        <v>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53" t="s">
        <v>87</v>
      </c>
      <c r="C361" s="51">
        <v>0</v>
      </c>
      <c r="D361" s="51">
        <v>34</v>
      </c>
      <c r="E361" s="51">
        <v>0</v>
      </c>
      <c r="F361" s="49">
        <f t="shared" si="5"/>
        <v>34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53" t="s">
        <v>88</v>
      </c>
      <c r="C362" s="51">
        <v>0</v>
      </c>
      <c r="D362" s="51">
        <v>8</v>
      </c>
      <c r="E362" s="51">
        <v>0</v>
      </c>
      <c r="F362" s="49">
        <f t="shared" si="5"/>
        <v>8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53" t="s">
        <v>89</v>
      </c>
      <c r="C363" s="51">
        <v>0</v>
      </c>
      <c r="D363" s="51">
        <v>1</v>
      </c>
      <c r="E363" s="51">
        <v>0</v>
      </c>
      <c r="F363" s="49">
        <f t="shared" si="5"/>
        <v>1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53" t="s">
        <v>90</v>
      </c>
      <c r="C364" s="51">
        <v>0</v>
      </c>
      <c r="D364" s="51">
        <v>91</v>
      </c>
      <c r="E364" s="51">
        <v>0</v>
      </c>
      <c r="F364" s="49">
        <f t="shared" si="5"/>
        <v>91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53" t="s">
        <v>114</v>
      </c>
      <c r="C365" s="51">
        <v>0</v>
      </c>
      <c r="D365" s="51">
        <v>1</v>
      </c>
      <c r="E365" s="51">
        <v>0</v>
      </c>
      <c r="F365" s="49">
        <f t="shared" si="5"/>
        <v>1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53" t="s">
        <v>91</v>
      </c>
      <c r="C366" s="51">
        <v>0</v>
      </c>
      <c r="D366" s="51">
        <v>501</v>
      </c>
      <c r="E366" s="51">
        <v>1</v>
      </c>
      <c r="F366" s="49">
        <f t="shared" si="5"/>
        <v>502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53" t="s">
        <v>135</v>
      </c>
      <c r="C367" s="51">
        <v>0</v>
      </c>
      <c r="D367" s="51">
        <v>4</v>
      </c>
      <c r="E367" s="51">
        <v>2</v>
      </c>
      <c r="F367" s="49">
        <f t="shared" si="5"/>
        <v>6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53" t="s">
        <v>92</v>
      </c>
      <c r="C368" s="51">
        <v>0</v>
      </c>
      <c r="D368" s="51">
        <v>10</v>
      </c>
      <c r="E368" s="51">
        <v>1</v>
      </c>
      <c r="F368" s="49">
        <f t="shared" ref="F368:F382" si="6">SUM(C368:E368)</f>
        <v>11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53" t="s">
        <v>115</v>
      </c>
      <c r="C369" s="51">
        <v>0</v>
      </c>
      <c r="D369" s="51">
        <v>1</v>
      </c>
      <c r="E369" s="51">
        <v>0</v>
      </c>
      <c r="F369" s="49">
        <f t="shared" si="6"/>
        <v>1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53" t="s">
        <v>93</v>
      </c>
      <c r="C370" s="51">
        <v>0</v>
      </c>
      <c r="D370" s="51">
        <v>15</v>
      </c>
      <c r="E370" s="51">
        <v>0</v>
      </c>
      <c r="F370" s="49">
        <f t="shared" si="6"/>
        <v>15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53" t="s">
        <v>117</v>
      </c>
      <c r="C371" s="51">
        <v>0</v>
      </c>
      <c r="D371" s="51">
        <v>1</v>
      </c>
      <c r="E371" s="51">
        <v>0</v>
      </c>
      <c r="F371" s="49">
        <f t="shared" si="6"/>
        <v>1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53" t="s">
        <v>94</v>
      </c>
      <c r="C372" s="51">
        <v>0</v>
      </c>
      <c r="D372" s="51">
        <v>3</v>
      </c>
      <c r="E372" s="51">
        <v>0</v>
      </c>
      <c r="F372" s="49">
        <f t="shared" si="6"/>
        <v>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53" t="s">
        <v>95</v>
      </c>
      <c r="C373" s="51">
        <v>0</v>
      </c>
      <c r="D373" s="51">
        <v>42</v>
      </c>
      <c r="E373" s="51">
        <v>0</v>
      </c>
      <c r="F373" s="49">
        <f t="shared" si="6"/>
        <v>42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53" t="s">
        <v>96</v>
      </c>
      <c r="C374" s="51">
        <v>0</v>
      </c>
      <c r="D374" s="51">
        <v>1</v>
      </c>
      <c r="E374" s="51">
        <v>0</v>
      </c>
      <c r="F374" s="49">
        <f t="shared" si="6"/>
        <v>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53" t="s">
        <v>97</v>
      </c>
      <c r="C375" s="51">
        <v>0</v>
      </c>
      <c r="D375" s="51">
        <v>6</v>
      </c>
      <c r="E375" s="51">
        <v>0</v>
      </c>
      <c r="F375" s="49">
        <f t="shared" si="6"/>
        <v>6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53" t="s">
        <v>98</v>
      </c>
      <c r="C376" s="51">
        <v>0</v>
      </c>
      <c r="D376" s="51">
        <v>1</v>
      </c>
      <c r="E376" s="51">
        <v>0</v>
      </c>
      <c r="F376" s="49">
        <f t="shared" si="6"/>
        <v>1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53" t="s">
        <v>99</v>
      </c>
      <c r="C377" s="51">
        <v>0</v>
      </c>
      <c r="D377" s="51">
        <v>13</v>
      </c>
      <c r="E377" s="51">
        <v>0</v>
      </c>
      <c r="F377" s="49">
        <f t="shared" si="6"/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53" t="s">
        <v>100</v>
      </c>
      <c r="C378" s="51">
        <v>0</v>
      </c>
      <c r="D378" s="51">
        <v>6</v>
      </c>
      <c r="E378" s="51">
        <v>0</v>
      </c>
      <c r="F378" s="49">
        <f t="shared" si="6"/>
        <v>6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53" t="s">
        <v>101</v>
      </c>
      <c r="C379" s="51">
        <v>0</v>
      </c>
      <c r="D379" s="51">
        <v>3</v>
      </c>
      <c r="E379" s="51">
        <v>0</v>
      </c>
      <c r="F379" s="49">
        <f t="shared" si="6"/>
        <v>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53" t="s">
        <v>102</v>
      </c>
      <c r="C380" s="51">
        <v>0</v>
      </c>
      <c r="D380" s="51">
        <v>146</v>
      </c>
      <c r="E380" s="51">
        <v>7</v>
      </c>
      <c r="F380" s="49">
        <f t="shared" si="6"/>
        <v>153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53" t="s">
        <v>103</v>
      </c>
      <c r="C381" s="51">
        <v>0</v>
      </c>
      <c r="D381" s="51">
        <v>21</v>
      </c>
      <c r="E381" s="51">
        <v>0</v>
      </c>
      <c r="F381" s="49">
        <f t="shared" si="6"/>
        <v>21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53" t="s">
        <v>104</v>
      </c>
      <c r="C382" s="51">
        <v>0</v>
      </c>
      <c r="D382" s="51">
        <v>1075</v>
      </c>
      <c r="E382" s="51">
        <v>4</v>
      </c>
      <c r="F382" s="49">
        <f t="shared" si="6"/>
        <v>1079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7" t="s">
        <v>136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36"/>
      <c r="C389" s="10" t="s">
        <v>6</v>
      </c>
      <c r="D389" s="10" t="s">
        <v>7</v>
      </c>
      <c r="E389" s="54" t="s">
        <v>8</v>
      </c>
      <c r="F389" s="54" t="s">
        <v>10</v>
      </c>
      <c r="G389" s="54" t="s">
        <v>11</v>
      </c>
      <c r="H389" s="4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1">
        <v>2022</v>
      </c>
      <c r="C390" s="12">
        <v>20</v>
      </c>
      <c r="D390" s="12">
        <v>7285</v>
      </c>
      <c r="E390" s="13">
        <v>48</v>
      </c>
      <c r="F390" s="14"/>
      <c r="G390" s="15">
        <f t="shared" ref="G390:G393" si="7">SUM(C390:F390)</f>
        <v>7353</v>
      </c>
      <c r="H390" s="5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1">
        <v>2023</v>
      </c>
      <c r="C391" s="12">
        <v>30</v>
      </c>
      <c r="D391" s="12">
        <v>9566</v>
      </c>
      <c r="E391" s="13">
        <v>57</v>
      </c>
      <c r="F391" s="14"/>
      <c r="G391" s="15">
        <f t="shared" si="7"/>
        <v>9653</v>
      </c>
      <c r="H391" s="5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1">
        <v>2024</v>
      </c>
      <c r="C392" s="12">
        <v>4</v>
      </c>
      <c r="D392" s="12">
        <v>8850</v>
      </c>
      <c r="E392" s="13">
        <v>42</v>
      </c>
      <c r="F392" s="14"/>
      <c r="G392" s="15">
        <f t="shared" si="7"/>
        <v>8896</v>
      </c>
      <c r="H392" s="5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1">
        <v>2025</v>
      </c>
      <c r="C393" s="12">
        <v>2</v>
      </c>
      <c r="D393" s="12">
        <v>7325</v>
      </c>
      <c r="E393" s="12">
        <v>66</v>
      </c>
      <c r="F393" s="15"/>
      <c r="G393" s="15">
        <f t="shared" si="7"/>
        <v>7393</v>
      </c>
      <c r="H393" s="5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7" t="s">
        <v>137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6"/>
      <c r="C399" s="7" t="s">
        <v>2</v>
      </c>
      <c r="D399" s="8"/>
      <c r="E399" s="7" t="s">
        <v>3</v>
      </c>
      <c r="F399" s="8"/>
      <c r="G399" s="7" t="s">
        <v>4</v>
      </c>
      <c r="H399" s="8"/>
      <c r="I399" s="7" t="s">
        <v>5</v>
      </c>
      <c r="J399" s="8"/>
      <c r="K399" s="7" t="s">
        <v>6</v>
      </c>
      <c r="L399" s="8"/>
      <c r="M399" s="7" t="s">
        <v>7</v>
      </c>
      <c r="N399" s="8"/>
      <c r="O399" s="7" t="s">
        <v>8</v>
      </c>
      <c r="P399" s="8"/>
      <c r="Q399" s="54" t="s">
        <v>10</v>
      </c>
      <c r="R399" s="7" t="s">
        <v>9</v>
      </c>
      <c r="S399" s="8"/>
      <c r="T399" s="54" t="s">
        <v>11</v>
      </c>
      <c r="U399" s="1"/>
      <c r="V399" s="1"/>
      <c r="W399" s="1"/>
      <c r="X399" s="1"/>
      <c r="Y399" s="1"/>
      <c r="Z399" s="1"/>
    </row>
    <row r="400" ht="18.75" customHeight="1">
      <c r="A400" s="1"/>
      <c r="B400" s="23"/>
      <c r="C400" s="24" t="s">
        <v>12</v>
      </c>
      <c r="D400" s="10" t="s">
        <v>13</v>
      </c>
      <c r="E400" s="24" t="s">
        <v>12</v>
      </c>
      <c r="F400" s="10" t="s">
        <v>13</v>
      </c>
      <c r="G400" s="24" t="s">
        <v>12</v>
      </c>
      <c r="H400" s="10" t="s">
        <v>13</v>
      </c>
      <c r="I400" s="24" t="s">
        <v>12</v>
      </c>
      <c r="J400" s="10" t="s">
        <v>13</v>
      </c>
      <c r="K400" s="24" t="s">
        <v>12</v>
      </c>
      <c r="L400" s="10" t="s">
        <v>13</v>
      </c>
      <c r="M400" s="24" t="s">
        <v>12</v>
      </c>
      <c r="N400" s="10" t="s">
        <v>13</v>
      </c>
      <c r="O400" s="24" t="s">
        <v>12</v>
      </c>
      <c r="P400" s="10" t="s">
        <v>13</v>
      </c>
      <c r="Q400" s="10"/>
      <c r="R400" s="24" t="s">
        <v>12</v>
      </c>
      <c r="S400" s="10" t="s">
        <v>13</v>
      </c>
      <c r="T400" s="10"/>
      <c r="U400" s="1"/>
      <c r="V400" s="1"/>
      <c r="W400" s="1"/>
      <c r="X400" s="1"/>
      <c r="Y400" s="1"/>
      <c r="Z400" s="1"/>
    </row>
    <row r="401" ht="18.75" customHeight="1">
      <c r="A401" s="1"/>
      <c r="B401" s="11">
        <v>2022</v>
      </c>
      <c r="C401" s="12">
        <v>7510</v>
      </c>
      <c r="D401" s="16"/>
      <c r="E401" s="12">
        <v>6084</v>
      </c>
      <c r="F401" s="16"/>
      <c r="G401" s="56">
        <v>1476</v>
      </c>
      <c r="H401" s="16"/>
      <c r="I401" s="13">
        <v>189</v>
      </c>
      <c r="J401" s="14"/>
      <c r="K401" s="12">
        <v>221</v>
      </c>
      <c r="L401" s="16"/>
      <c r="M401" s="12">
        <v>655</v>
      </c>
      <c r="N401" s="16"/>
      <c r="O401" s="13">
        <v>20</v>
      </c>
      <c r="P401" s="14"/>
      <c r="Q401" s="14"/>
      <c r="R401" s="15"/>
      <c r="S401" s="15"/>
      <c r="T401" s="15">
        <f t="shared" ref="T401:T404" si="8">SUM(C401:S401)</f>
        <v>16155</v>
      </c>
      <c r="U401" s="1"/>
      <c r="V401" s="1"/>
      <c r="W401" s="1"/>
      <c r="X401" s="1"/>
      <c r="Y401" s="1"/>
      <c r="Z401" s="1"/>
    </row>
    <row r="402" ht="18.75" customHeight="1">
      <c r="A402" s="1"/>
      <c r="B402" s="11">
        <v>2023</v>
      </c>
      <c r="C402" s="12">
        <v>8259</v>
      </c>
      <c r="D402" s="16"/>
      <c r="E402" s="12">
        <v>6211</v>
      </c>
      <c r="F402" s="16"/>
      <c r="G402" s="12">
        <v>1368</v>
      </c>
      <c r="H402" s="16"/>
      <c r="I402" s="13">
        <v>650</v>
      </c>
      <c r="J402" s="14"/>
      <c r="K402" s="12">
        <v>198</v>
      </c>
      <c r="L402" s="16"/>
      <c r="M402" s="12">
        <v>957</v>
      </c>
      <c r="N402" s="16"/>
      <c r="O402" s="13">
        <v>28</v>
      </c>
      <c r="P402" s="14"/>
      <c r="Q402" s="14"/>
      <c r="R402" s="15"/>
      <c r="S402" s="15"/>
      <c r="T402" s="15">
        <f t="shared" si="8"/>
        <v>17671</v>
      </c>
      <c r="U402" s="1"/>
      <c r="V402" s="1"/>
      <c r="W402" s="1"/>
      <c r="X402" s="1"/>
      <c r="Y402" s="1"/>
      <c r="Z402" s="1"/>
    </row>
    <row r="403" ht="18.75" customHeight="1">
      <c r="A403" s="1"/>
      <c r="B403" s="11">
        <v>2024</v>
      </c>
      <c r="C403" s="12">
        <v>9887</v>
      </c>
      <c r="D403" s="16"/>
      <c r="E403" s="13">
        <v>8894</v>
      </c>
      <c r="F403" s="14"/>
      <c r="G403" s="12">
        <v>1577</v>
      </c>
      <c r="H403" s="15"/>
      <c r="I403" s="27">
        <v>748</v>
      </c>
      <c r="J403" s="15"/>
      <c r="K403" s="12">
        <v>199</v>
      </c>
      <c r="L403" s="15"/>
      <c r="M403" s="12">
        <v>1155</v>
      </c>
      <c r="N403" s="15"/>
      <c r="O403" s="12">
        <v>18</v>
      </c>
      <c r="P403" s="15"/>
      <c r="Q403" s="15"/>
      <c r="R403" s="15"/>
      <c r="S403" s="15"/>
      <c r="T403" s="15">
        <f t="shared" si="8"/>
        <v>22478</v>
      </c>
      <c r="U403" s="1"/>
      <c r="V403" s="1"/>
      <c r="W403" s="1"/>
      <c r="X403" s="1"/>
      <c r="Y403" s="1"/>
      <c r="Z403" s="1"/>
    </row>
    <row r="404" ht="18.75" customHeight="1">
      <c r="A404" s="1"/>
      <c r="B404" s="11">
        <v>2025</v>
      </c>
      <c r="C404" s="12">
        <v>10375</v>
      </c>
      <c r="D404" s="16"/>
      <c r="E404" s="57">
        <v>8582</v>
      </c>
      <c r="F404" s="14"/>
      <c r="G404" s="12">
        <v>1284</v>
      </c>
      <c r="H404" s="15"/>
      <c r="I404" s="27">
        <v>777</v>
      </c>
      <c r="J404" s="15"/>
      <c r="K404" s="12">
        <v>73</v>
      </c>
      <c r="L404" s="15"/>
      <c r="M404" s="12">
        <v>658</v>
      </c>
      <c r="N404" s="15"/>
      <c r="O404" s="12">
        <v>16</v>
      </c>
      <c r="P404" s="15"/>
      <c r="Q404" s="15"/>
      <c r="R404" s="15"/>
      <c r="S404" s="15"/>
      <c r="T404" s="15">
        <f t="shared" si="8"/>
        <v>21765</v>
      </c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7" t="s">
        <v>138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58"/>
      <c r="C411" s="54" t="s">
        <v>139</v>
      </c>
      <c r="D411" s="54" t="s">
        <v>140</v>
      </c>
      <c r="E411" s="54" t="s">
        <v>141</v>
      </c>
      <c r="F411" s="54" t="s">
        <v>142</v>
      </c>
      <c r="G411" s="54" t="s">
        <v>18</v>
      </c>
      <c r="H411" s="54" t="s">
        <v>143</v>
      </c>
      <c r="I411" s="54" t="s">
        <v>144</v>
      </c>
      <c r="J411" s="54" t="s">
        <v>145</v>
      </c>
      <c r="K411" s="54" t="s">
        <v>146</v>
      </c>
      <c r="L411" s="54" t="s">
        <v>147</v>
      </c>
      <c r="M411" s="54" t="s">
        <v>11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1">
        <v>2022</v>
      </c>
      <c r="C412" s="16"/>
      <c r="D412" s="14"/>
      <c r="E412" s="14"/>
      <c r="F412" s="14"/>
      <c r="G412" s="14"/>
      <c r="H412" s="14"/>
      <c r="I412" s="14"/>
      <c r="J412" s="14"/>
      <c r="K412" s="14"/>
      <c r="L412" s="14"/>
      <c r="M412" s="1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1">
        <v>2023</v>
      </c>
      <c r="C413" s="16"/>
      <c r="D413" s="14"/>
      <c r="E413" s="14"/>
      <c r="F413" s="14"/>
      <c r="G413" s="16"/>
      <c r="H413" s="14"/>
      <c r="I413" s="14"/>
      <c r="J413" s="14"/>
      <c r="K413" s="14"/>
      <c r="L413" s="14"/>
      <c r="M413" s="1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1">
        <v>2024</v>
      </c>
      <c r="C414" s="16"/>
      <c r="D414" s="14"/>
      <c r="E414" s="14"/>
      <c r="F414" s="14"/>
      <c r="G414" s="14"/>
      <c r="H414" s="14"/>
      <c r="I414" s="14"/>
      <c r="J414" s="14"/>
      <c r="K414" s="14"/>
      <c r="L414" s="59"/>
      <c r="M414" s="60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1">
        <v>2025</v>
      </c>
      <c r="C415" s="16"/>
      <c r="D415" s="14"/>
      <c r="E415" s="14"/>
      <c r="F415" s="14"/>
      <c r="G415" s="14"/>
      <c r="H415" s="14"/>
      <c r="I415" s="14"/>
      <c r="J415" s="14"/>
      <c r="K415" s="14"/>
      <c r="L415" s="59"/>
      <c r="M415" s="60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7" t="s">
        <v>148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39" t="s">
        <v>28</v>
      </c>
      <c r="C421" s="40"/>
      <c r="D421" s="40"/>
      <c r="E421" s="40"/>
      <c r="F421" s="40"/>
      <c r="G421" s="8"/>
      <c r="H421" s="4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61" t="s">
        <v>29</v>
      </c>
      <c r="C422" s="10" t="s">
        <v>149</v>
      </c>
      <c r="D422" s="10" t="s">
        <v>7</v>
      </c>
      <c r="E422" s="10" t="s">
        <v>150</v>
      </c>
      <c r="F422" s="10" t="s">
        <v>151</v>
      </c>
      <c r="G422" s="62" t="s">
        <v>11</v>
      </c>
      <c r="H422" s="4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63"/>
      <c r="C423" s="64"/>
      <c r="D423" s="64"/>
      <c r="E423" s="65"/>
      <c r="F423" s="65"/>
      <c r="G423" s="65"/>
      <c r="H423" s="4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63"/>
      <c r="C424" s="65"/>
      <c r="D424" s="65"/>
      <c r="E424" s="65"/>
      <c r="F424" s="65"/>
      <c r="G424" s="65"/>
      <c r="H424" s="4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63"/>
      <c r="C425" s="65"/>
      <c r="D425" s="65"/>
      <c r="E425" s="65"/>
      <c r="F425" s="65"/>
      <c r="G425" s="65"/>
      <c r="H425" s="4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63"/>
      <c r="C426" s="65"/>
      <c r="D426" s="65"/>
      <c r="E426" s="65"/>
      <c r="F426" s="65"/>
      <c r="G426" s="65"/>
      <c r="H426" s="4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63"/>
      <c r="C427" s="65"/>
      <c r="D427" s="65"/>
      <c r="E427" s="65"/>
      <c r="F427" s="65"/>
      <c r="G427" s="65"/>
      <c r="H427" s="4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39" t="s">
        <v>105</v>
      </c>
      <c r="C431" s="40"/>
      <c r="D431" s="40"/>
      <c r="E431" s="40"/>
      <c r="F431" s="40"/>
      <c r="G431" s="8"/>
      <c r="H431" s="4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61" t="s">
        <v>29</v>
      </c>
      <c r="C432" s="10" t="s">
        <v>149</v>
      </c>
      <c r="D432" s="10" t="s">
        <v>7</v>
      </c>
      <c r="E432" s="10" t="s">
        <v>150</v>
      </c>
      <c r="F432" s="10" t="s">
        <v>151</v>
      </c>
      <c r="G432" s="62" t="s">
        <v>11</v>
      </c>
      <c r="H432" s="4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63"/>
      <c r="C433" s="64"/>
      <c r="D433" s="64"/>
      <c r="E433" s="65"/>
      <c r="F433" s="65"/>
      <c r="G433" s="65"/>
      <c r="H433" s="4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63"/>
      <c r="C434" s="65"/>
      <c r="D434" s="65"/>
      <c r="E434" s="65"/>
      <c r="F434" s="65"/>
      <c r="G434" s="65"/>
      <c r="H434" s="4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63"/>
      <c r="C435" s="65"/>
      <c r="D435" s="65"/>
      <c r="E435" s="65"/>
      <c r="F435" s="65"/>
      <c r="G435" s="65"/>
      <c r="H435" s="4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63"/>
      <c r="C436" s="65"/>
      <c r="D436" s="65"/>
      <c r="E436" s="65"/>
      <c r="F436" s="65"/>
      <c r="G436" s="65"/>
      <c r="H436" s="4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63"/>
      <c r="C437" s="65"/>
      <c r="D437" s="65"/>
      <c r="E437" s="65"/>
      <c r="F437" s="65"/>
      <c r="G437" s="65"/>
      <c r="H437" s="4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39" t="s">
        <v>119</v>
      </c>
      <c r="C441" s="40"/>
      <c r="D441" s="40"/>
      <c r="E441" s="40"/>
      <c r="F441" s="40"/>
      <c r="G441" s="8"/>
      <c r="H441" s="4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61" t="s">
        <v>29</v>
      </c>
      <c r="C442" s="10" t="s">
        <v>149</v>
      </c>
      <c r="D442" s="10" t="s">
        <v>7</v>
      </c>
      <c r="E442" s="10" t="s">
        <v>150</v>
      </c>
      <c r="F442" s="10" t="s">
        <v>151</v>
      </c>
      <c r="G442" s="62" t="s">
        <v>11</v>
      </c>
      <c r="H442" s="4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63"/>
      <c r="C443" s="64"/>
      <c r="D443" s="64"/>
      <c r="E443" s="65"/>
      <c r="F443" s="65"/>
      <c r="G443" s="65"/>
      <c r="H443" s="4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63"/>
      <c r="C444" s="65"/>
      <c r="D444" s="65"/>
      <c r="E444" s="65"/>
      <c r="F444" s="65"/>
      <c r="G444" s="65"/>
      <c r="H444" s="4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63"/>
      <c r="C445" s="65"/>
      <c r="D445" s="65"/>
      <c r="E445" s="65"/>
      <c r="F445" s="65"/>
      <c r="G445" s="65"/>
      <c r="H445" s="4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63"/>
      <c r="C446" s="65"/>
      <c r="D446" s="65"/>
      <c r="E446" s="65"/>
      <c r="F446" s="65"/>
      <c r="G446" s="65"/>
      <c r="H446" s="4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63"/>
      <c r="C447" s="65"/>
      <c r="D447" s="65"/>
      <c r="E447" s="65"/>
      <c r="F447" s="65"/>
      <c r="G447" s="65"/>
      <c r="H447" s="4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39" t="s">
        <v>129</v>
      </c>
      <c r="C450" s="40"/>
      <c r="D450" s="40"/>
      <c r="E450" s="40"/>
      <c r="F450" s="40"/>
      <c r="G450" s="8"/>
      <c r="H450" s="4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61" t="s">
        <v>29</v>
      </c>
      <c r="C451" s="10" t="s">
        <v>149</v>
      </c>
      <c r="D451" s="10" t="s">
        <v>7</v>
      </c>
      <c r="E451" s="10" t="s">
        <v>150</v>
      </c>
      <c r="F451" s="10" t="s">
        <v>151</v>
      </c>
      <c r="G451" s="62" t="s">
        <v>11</v>
      </c>
      <c r="H451" s="4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63"/>
      <c r="C452" s="64"/>
      <c r="D452" s="64"/>
      <c r="E452" s="65"/>
      <c r="F452" s="65"/>
      <c r="G452" s="65"/>
      <c r="H452" s="6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63"/>
      <c r="C453" s="65"/>
      <c r="D453" s="65"/>
      <c r="E453" s="65"/>
      <c r="F453" s="65"/>
      <c r="G453" s="65"/>
      <c r="H453" s="4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63"/>
      <c r="C454" s="65"/>
      <c r="D454" s="65"/>
      <c r="E454" s="65"/>
      <c r="F454" s="65"/>
      <c r="G454" s="65"/>
      <c r="H454" s="4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63"/>
      <c r="C455" s="65"/>
      <c r="D455" s="65"/>
      <c r="E455" s="65"/>
      <c r="F455" s="65"/>
      <c r="G455" s="65"/>
      <c r="H455" s="4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63"/>
      <c r="C456" s="65"/>
      <c r="D456" s="65"/>
      <c r="E456" s="65"/>
      <c r="F456" s="65"/>
      <c r="G456" s="65"/>
      <c r="H456" s="4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8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8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8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8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8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8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8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8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8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8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8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8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8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8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8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8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8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8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8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8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8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8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8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8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8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8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8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8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8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8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8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8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8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8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8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8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8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8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8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8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8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8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8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8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8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8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8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8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8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8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8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8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8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8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8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8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8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8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8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8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8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8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8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8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8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8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8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8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8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8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8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8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8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8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8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8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8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8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8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8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8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8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8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8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8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8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8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8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8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8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8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8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8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8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8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8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8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8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8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8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8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8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8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8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8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8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8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8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8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8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8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8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8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8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8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8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8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8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8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8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8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8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8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8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8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8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8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8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8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8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8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8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8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8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8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8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8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8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8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8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8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8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8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8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8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8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8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8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8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8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8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8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8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8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8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8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8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8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8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8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8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8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8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8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8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8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8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8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8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8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8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8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8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8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8.7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8.7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8.7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8.7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8.7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8.7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8.7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8.75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8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8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8.75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8.7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8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8.7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8.7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8.7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8.75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8.7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8.7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8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8.7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8.7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8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8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8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8.7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8.7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8.7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8.7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8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8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8.7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8.7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8.7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8.7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8.7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8.7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8.75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8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8.7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8.75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8.7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8.75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8.75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8.75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8.7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8.7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8.7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8.7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8.75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8.75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8.75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8.75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8.75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8.75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8.75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8.7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8.7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8.75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8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8.75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8.7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8.75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8.75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8.7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8.7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8.7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8.7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8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8.7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8.75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8.75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8.75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8.75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8.75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8.75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8.75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8.7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8.75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8.7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8.75" customHeight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8.75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8.75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8.75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8.75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8.75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8.75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8.75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8.75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8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8.75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8.7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8.75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8.75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8.75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8.75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8.7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8.75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8.7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8.75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8.75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8.75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8.75" customHeight="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8.75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8.75" customHeight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8.75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8.75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8.75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8.75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8.75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8.75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8.75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8.7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8.75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8.75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8.75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8.75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8.75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8.75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8.7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8.75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8.7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8.75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8.75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8.75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8.75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8.7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8.75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8.7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8.7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8.75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8.75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8.75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8.75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8.75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8.75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</sheetData>
  <mergeCells count="50">
    <mergeCell ref="B4:B5"/>
    <mergeCell ref="C4:D4"/>
    <mergeCell ref="E4:F4"/>
    <mergeCell ref="G4:H4"/>
    <mergeCell ref="J4:K4"/>
    <mergeCell ref="L4:M4"/>
    <mergeCell ref="N4:O4"/>
    <mergeCell ref="P4:Q4"/>
    <mergeCell ref="R4:R5"/>
    <mergeCell ref="S4:S5"/>
    <mergeCell ref="B14:B15"/>
    <mergeCell ref="C14:C15"/>
    <mergeCell ref="D14:E15"/>
    <mergeCell ref="F14:G15"/>
    <mergeCell ref="H14:I15"/>
    <mergeCell ref="J14:K15"/>
    <mergeCell ref="L14:M15"/>
    <mergeCell ref="N14:O15"/>
    <mergeCell ref="P14:P15"/>
    <mergeCell ref="Q14:R15"/>
    <mergeCell ref="S14:S15"/>
    <mergeCell ref="B17:B18"/>
    <mergeCell ref="B19:B20"/>
    <mergeCell ref="B21:B22"/>
    <mergeCell ref="B23:B24"/>
    <mergeCell ref="C34:D35"/>
    <mergeCell ref="E34:F35"/>
    <mergeCell ref="G34:H35"/>
    <mergeCell ref="I34:J35"/>
    <mergeCell ref="K34:L35"/>
    <mergeCell ref="M34:N35"/>
    <mergeCell ref="O34:P35"/>
    <mergeCell ref="Q34:Q35"/>
    <mergeCell ref="R34:R35"/>
    <mergeCell ref="B46:F46"/>
    <mergeCell ref="B126:F126"/>
    <mergeCell ref="B214:F214"/>
    <mergeCell ref="B300:F300"/>
    <mergeCell ref="C399:D399"/>
    <mergeCell ref="E399:F399"/>
    <mergeCell ref="G399:H399"/>
    <mergeCell ref="I399:J399"/>
    <mergeCell ref="K399:L399"/>
    <mergeCell ref="M399:N399"/>
    <mergeCell ref="O399:P399"/>
    <mergeCell ref="R399:S399"/>
    <mergeCell ref="B421:G421"/>
    <mergeCell ref="B431:G431"/>
    <mergeCell ref="B441:G441"/>
    <mergeCell ref="B450:G450"/>
  </mergeCells>
  <printOptions headings="0" gridLines="0"/>
  <pageMargins left="0.69999999999999996" right="0.69999999999999996" top="0.75" bottom="0.75" header="0" footer="0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11.380000000000001"/>
    <col customWidth="1" min="2" max="2" width="20.379999999999999"/>
    <col customWidth="1" min="3" max="3" width="21.629999999999999"/>
    <col customWidth="1" min="4" max="4" width="27.379999999999999"/>
    <col customWidth="1" min="5" max="5" width="34.380000000000003"/>
    <col customWidth="1" min="6" max="6" width="34.130000000000003"/>
    <col customWidth="1" min="7" max="7" width="32.130000000000003"/>
    <col customWidth="1" min="8" max="8" width="24"/>
    <col customWidth="1" min="9" max="9" width="24.379999999999999"/>
    <col customWidth="1" min="10" max="26" width="10.630000000000001"/>
  </cols>
  <sheetData>
    <row r="1" ht="18.75" customHeight="1">
      <c r="A1" s="17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7" t="s">
        <v>153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58"/>
      <c r="B5" s="54" t="s">
        <v>139</v>
      </c>
      <c r="C5" s="54" t="s">
        <v>154</v>
      </c>
      <c r="D5" s="54" t="s">
        <v>155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1">
        <v>2022</v>
      </c>
      <c r="B6" s="16"/>
      <c r="C6" s="16"/>
      <c r="D6" s="1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1">
        <v>2023</v>
      </c>
      <c r="B7" s="16"/>
      <c r="C7" s="16"/>
      <c r="D7" s="1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1">
        <v>2024</v>
      </c>
      <c r="B8" s="16"/>
      <c r="C8" s="16"/>
      <c r="D8" s="1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1">
        <v>2024</v>
      </c>
      <c r="B9" s="16"/>
      <c r="C9" s="16"/>
      <c r="D9" s="1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7" t="s">
        <v>156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6"/>
      <c r="B15" s="54" t="s">
        <v>157</v>
      </c>
      <c r="C15" s="54" t="s">
        <v>8</v>
      </c>
      <c r="D15" s="54" t="s">
        <v>10</v>
      </c>
      <c r="E15" s="54" t="s">
        <v>11</v>
      </c>
      <c r="G15" s="67" t="s">
        <v>158</v>
      </c>
      <c r="H15" s="67" t="s">
        <v>159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1">
        <v>2022</v>
      </c>
      <c r="B16" s="12">
        <v>763</v>
      </c>
      <c r="C16" s="12">
        <v>8</v>
      </c>
      <c r="D16" s="14"/>
      <c r="E16" s="15"/>
      <c r="F16" s="68">
        <v>763</v>
      </c>
      <c r="G16" s="69">
        <v>748</v>
      </c>
      <c r="H16" s="69">
        <v>15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1">
        <v>2023</v>
      </c>
      <c r="B17" s="12">
        <v>760</v>
      </c>
      <c r="C17" s="12">
        <v>7</v>
      </c>
      <c r="D17" s="14"/>
      <c r="E17" s="15"/>
      <c r="F17" s="68">
        <v>760</v>
      </c>
      <c r="G17" s="69">
        <v>736</v>
      </c>
      <c r="H17" s="69">
        <v>24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1">
        <v>2024</v>
      </c>
      <c r="B18" s="12">
        <v>589</v>
      </c>
      <c r="C18" s="12">
        <v>4</v>
      </c>
      <c r="D18" s="14"/>
      <c r="E18" s="15"/>
      <c r="F18" s="68">
        <v>589</v>
      </c>
      <c r="G18" s="69">
        <v>585</v>
      </c>
      <c r="H18" s="69">
        <v>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1">
        <v>2025</v>
      </c>
      <c r="B19" s="12">
        <v>552</v>
      </c>
      <c r="C19" s="12">
        <v>2</v>
      </c>
      <c r="D19" s="15"/>
      <c r="E19" s="15"/>
      <c r="F19" s="68">
        <v>552</v>
      </c>
      <c r="G19" s="69">
        <v>550</v>
      </c>
      <c r="H19" s="69">
        <v>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70" t="s">
        <v>160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6.75" customHeight="1">
      <c r="A24" s="6"/>
      <c r="B24" s="6" t="s">
        <v>161</v>
      </c>
      <c r="C24" s="71" t="s">
        <v>162</v>
      </c>
      <c r="D24" s="6" t="s">
        <v>154</v>
      </c>
      <c r="E24" s="6" t="s">
        <v>163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1">
        <v>2022</v>
      </c>
      <c r="B25" s="14"/>
      <c r="C25" s="14"/>
      <c r="D25" s="72"/>
      <c r="E25" s="7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1">
        <v>2023</v>
      </c>
      <c r="B26" s="14"/>
      <c r="C26" s="14"/>
      <c r="D26" s="15"/>
      <c r="E26" s="1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1">
        <v>2024</v>
      </c>
      <c r="B27" s="16"/>
      <c r="C27" s="14"/>
      <c r="D27" s="15"/>
      <c r="E27" s="1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1">
        <v>2025</v>
      </c>
      <c r="B28" s="16"/>
      <c r="C28" s="14"/>
      <c r="D28" s="15"/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7" t="s">
        <v>164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8.25" customHeight="1">
      <c r="A33" s="6"/>
      <c r="B33" s="6" t="s">
        <v>165</v>
      </c>
      <c r="C33" s="6" t="s">
        <v>166</v>
      </c>
      <c r="D33" s="6" t="s">
        <v>167</v>
      </c>
      <c r="E33" s="23" t="s">
        <v>168</v>
      </c>
      <c r="F33" s="23" t="s">
        <v>169</v>
      </c>
      <c r="G33" s="23" t="s">
        <v>170</v>
      </c>
      <c r="H33" s="23" t="s">
        <v>171</v>
      </c>
      <c r="I33" s="23" t="s">
        <v>172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1">
        <v>2022</v>
      </c>
      <c r="B34" s="14"/>
      <c r="C34" s="14"/>
      <c r="D34" s="72"/>
      <c r="E34" s="72"/>
      <c r="F34" s="72"/>
      <c r="G34" s="72"/>
      <c r="H34" s="72"/>
      <c r="I34" s="7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1">
        <v>2023</v>
      </c>
      <c r="B35" s="14"/>
      <c r="C35" s="14"/>
      <c r="D35" s="15"/>
      <c r="E35" s="15"/>
      <c r="F35" s="15"/>
      <c r="G35" s="15"/>
      <c r="H35" s="15"/>
      <c r="I35" s="1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1">
        <v>2024</v>
      </c>
      <c r="B36" s="16"/>
      <c r="C36" s="14"/>
      <c r="D36" s="15"/>
      <c r="E36" s="15"/>
      <c r="F36" s="15"/>
      <c r="G36" s="15"/>
      <c r="H36" s="15"/>
      <c r="I36" s="1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1">
        <v>2025</v>
      </c>
      <c r="B37" s="16"/>
      <c r="C37" s="14"/>
      <c r="D37" s="15"/>
      <c r="E37" s="15"/>
      <c r="F37" s="15"/>
      <c r="G37" s="15"/>
      <c r="H37" s="15"/>
      <c r="I37" s="1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3:D23"/>
  </mergeCells>
  <printOptions headings="0" gridLines="0"/>
  <pageMargins left="0.69999999999999996" right="0.69999999999999996" top="0.75" bottom="0.75" header="0" footer="0"/>
  <pageSetup paperSize="9" scale="100" fitToWidth="1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Briseño Ceron</dc:creator>
  <cp:lastModifiedBy>Usuario</cp:lastModifiedBy>
  <cp:revision>2</cp:revision>
  <dcterms:created xsi:type="dcterms:W3CDTF">2026-01-24T00:39:27Z</dcterms:created>
  <dcterms:modified xsi:type="dcterms:W3CDTF">2026-02-24T17:10:18Z</dcterms:modified>
</cp:coreProperties>
</file>